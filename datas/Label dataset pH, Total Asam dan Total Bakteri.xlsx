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py project\Sistem-Deteksi-Kualitas-Susu-Menggunakan-Metode-Gray-Level-Co-Occurrence-Matrix-dan-Random-Forest\datas\"/>
    </mc:Choice>
  </mc:AlternateContent>
  <xr:revisionPtr revIDLastSave="0" documentId="8_{96E2CB0E-9B3E-4981-8764-50DCA22BA74A}" xr6:coauthVersionLast="47" xr6:coauthVersionMax="47" xr10:uidLastSave="{00000000-0000-0000-0000-000000000000}"/>
  <bookViews>
    <workbookView xWindow="-120" yWindow="-120" windowWidth="24240" windowHeight="13740" activeTab="1" xr2:uid="{90F0B9D3-DAEE-3C40-9D3E-2478339FB330}"/>
  </bookViews>
  <sheets>
    <sheet name="Ori" sheetId="2" r:id="rId1"/>
    <sheet name="Ori (2)" sheetId="4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2" l="1"/>
  <c r="K38" i="2"/>
  <c r="K37" i="2"/>
  <c r="K36" i="2"/>
  <c r="F32" i="2"/>
</calcChain>
</file>

<file path=xl/sharedStrings.xml><?xml version="1.0" encoding="utf-8"?>
<sst xmlns="http://schemas.openxmlformats.org/spreadsheetml/2006/main" count="1653" uniqueCount="285">
  <si>
    <t>P0U1-0-1</t>
  </si>
  <si>
    <t>P0U1-0-2</t>
  </si>
  <si>
    <t>P0U1-0-3</t>
  </si>
  <si>
    <t>P0U1-0-4</t>
  </si>
  <si>
    <t>P0U2-10-1</t>
  </si>
  <si>
    <t>P0U2-10-2</t>
  </si>
  <si>
    <t>P0U2-10-3</t>
  </si>
  <si>
    <t>P0U2-10-4</t>
  </si>
  <si>
    <t>P0U3-20-1</t>
  </si>
  <si>
    <t>P0U3-20-2</t>
  </si>
  <si>
    <t>P0U3-20-3</t>
  </si>
  <si>
    <t>P0U3-20-4</t>
  </si>
  <si>
    <t>P0U4-30-1</t>
  </si>
  <si>
    <t>P0U4-30-2</t>
  </si>
  <si>
    <t>P0U4-30-3</t>
  </si>
  <si>
    <t>P0U4-30-4</t>
  </si>
  <si>
    <t>P0U5-40-1</t>
  </si>
  <si>
    <t>P0U5-40-2</t>
  </si>
  <si>
    <t>P0U5-40-3</t>
  </si>
  <si>
    <t>P0U5-40-4</t>
  </si>
  <si>
    <t>P0U6-50-1</t>
  </si>
  <si>
    <t>P0U6-50-2</t>
  </si>
  <si>
    <t>P0U6-50-3</t>
  </si>
  <si>
    <t>P0U6-50-4</t>
  </si>
  <si>
    <t>P0U7-60-1</t>
  </si>
  <si>
    <t>P0U7-60-2</t>
  </si>
  <si>
    <t>P0U7-60-3</t>
  </si>
  <si>
    <t>P0U7-60-4</t>
  </si>
  <si>
    <t>P6U1-0-1</t>
  </si>
  <si>
    <t>P6U1-0-2</t>
  </si>
  <si>
    <t>P6U1-0-3</t>
  </si>
  <si>
    <t>P6U1-0-4</t>
  </si>
  <si>
    <t>P6U2-10-1</t>
  </si>
  <si>
    <t>P6U2-10-2</t>
  </si>
  <si>
    <t>P6U2-10-3</t>
  </si>
  <si>
    <t>P6U2-10-4</t>
  </si>
  <si>
    <t>P6U3-20-1</t>
  </si>
  <si>
    <t>P6U3-20-2</t>
  </si>
  <si>
    <t>P6U3-20-3</t>
  </si>
  <si>
    <t>P6U3-20-4</t>
  </si>
  <si>
    <t>P6U4-30-1</t>
  </si>
  <si>
    <t>P6U4-30-2</t>
  </si>
  <si>
    <t>P6U4-30-3</t>
  </si>
  <si>
    <t>P6U4-30-4</t>
  </si>
  <si>
    <t>P6U5-40-1</t>
  </si>
  <si>
    <t>P6U5-40-2</t>
  </si>
  <si>
    <t>P6U5-40-3</t>
  </si>
  <si>
    <t>P6U5-40-4</t>
  </si>
  <si>
    <t>P6U6-50-1</t>
  </si>
  <si>
    <t>P6U6-50-2</t>
  </si>
  <si>
    <t>P6U6-50-3</t>
  </si>
  <si>
    <t>P6U6-50-4</t>
  </si>
  <si>
    <t>P6U7-60-1</t>
  </si>
  <si>
    <t>P6U7-60-2</t>
  </si>
  <si>
    <t>P6U7-60-3</t>
  </si>
  <si>
    <t>P6U7-60-4</t>
  </si>
  <si>
    <t>P12U1-0-1</t>
  </si>
  <si>
    <t>P18U1-0-1</t>
  </si>
  <si>
    <t>P24U1-0-1</t>
  </si>
  <si>
    <t>P12U2-10-1</t>
  </si>
  <si>
    <t>P12U3-20-1</t>
  </si>
  <si>
    <t>P12U4-30-1</t>
  </si>
  <si>
    <t>P12U5-40-1</t>
  </si>
  <si>
    <t>P12U6-50-1</t>
  </si>
  <si>
    <t>P12U7-60-1</t>
  </si>
  <si>
    <t>P18U2-10-1</t>
  </si>
  <si>
    <t>P18U3-20-1</t>
  </si>
  <si>
    <t>P18U4-30-1</t>
  </si>
  <si>
    <t>P18U5-40-1</t>
  </si>
  <si>
    <t>P18U6-50-1</t>
  </si>
  <si>
    <t>P18U7-60-1</t>
  </si>
  <si>
    <t>P24U2-10-1</t>
  </si>
  <si>
    <t>P24U3-20-1</t>
  </si>
  <si>
    <t>P24U4-30-1</t>
  </si>
  <si>
    <t>P24U5-40-1</t>
  </si>
  <si>
    <t>P24U6-50-1</t>
  </si>
  <si>
    <t>P24U7-60-1</t>
  </si>
  <si>
    <t>P30U1-0-1</t>
  </si>
  <si>
    <t>P30U2-10-1</t>
  </si>
  <si>
    <t>P30U3-20-1</t>
  </si>
  <si>
    <t>P30U4-30-1</t>
  </si>
  <si>
    <t>P30U5-40-1</t>
  </si>
  <si>
    <t>P30U6-50-1</t>
  </si>
  <si>
    <t>P30U7-60-1</t>
  </si>
  <si>
    <t>P36U1-0-1</t>
  </si>
  <si>
    <t>P36U2-10-1</t>
  </si>
  <si>
    <t>P36U3-20-1</t>
  </si>
  <si>
    <t>P36U4-30-1</t>
  </si>
  <si>
    <t>P36U5-40-1</t>
  </si>
  <si>
    <t>P36U6-50-1</t>
  </si>
  <si>
    <t>P36U7-60-1</t>
  </si>
  <si>
    <t>P42U1-0-1</t>
  </si>
  <si>
    <t>P42U2-10-1</t>
  </si>
  <si>
    <t>P42U3-20-1</t>
  </si>
  <si>
    <t>P42U4-30-1</t>
  </si>
  <si>
    <t>P42U5-40-1</t>
  </si>
  <si>
    <t>P42U6-50-1</t>
  </si>
  <si>
    <t>P42U7-60-1</t>
  </si>
  <si>
    <t>P48U1-0-1</t>
  </si>
  <si>
    <t>P48U2-10-1</t>
  </si>
  <si>
    <t>P48U3-20-1</t>
  </si>
  <si>
    <t>P48U4-30-1</t>
  </si>
  <si>
    <t>P48U5-40-1</t>
  </si>
  <si>
    <t>P48U6-50-1</t>
  </si>
  <si>
    <t>P48U7-60-1</t>
  </si>
  <si>
    <t>P12U1-0-2</t>
  </si>
  <si>
    <t>P12U1-0-3</t>
  </si>
  <si>
    <t>P12U1-0-4</t>
  </si>
  <si>
    <t>P12U2-10-2</t>
  </si>
  <si>
    <t>P12U2-10-3</t>
  </si>
  <si>
    <t>P12U2-10-4</t>
  </si>
  <si>
    <t>P12U3-20-2</t>
  </si>
  <si>
    <t>P12U3-20-3</t>
  </si>
  <si>
    <t>P12U3-20-4</t>
  </si>
  <si>
    <t>P12U4-30-2</t>
  </si>
  <si>
    <t>P12U4-30-3</t>
  </si>
  <si>
    <t>P12U4-30-4</t>
  </si>
  <si>
    <t>P12U5-40-2</t>
  </si>
  <si>
    <t>P12U5-40-3</t>
  </si>
  <si>
    <t>P12U5-40-4</t>
  </si>
  <si>
    <t>P12U6-50-2</t>
  </si>
  <si>
    <t>P12U6-50-3</t>
  </si>
  <si>
    <t>P12U6-50-4</t>
  </si>
  <si>
    <t>P12U7-60-2</t>
  </si>
  <si>
    <t>P12U7-60-3</t>
  </si>
  <si>
    <t>P12U7-60-4</t>
  </si>
  <si>
    <t>P18U1-0-2</t>
  </si>
  <si>
    <t>P18U1-0-3</t>
  </si>
  <si>
    <t>P18U1-0-4</t>
  </si>
  <si>
    <t>P18U2-10-2</t>
  </si>
  <si>
    <t>P18U2-10-3</t>
  </si>
  <si>
    <t>P18U2-10-4</t>
  </si>
  <si>
    <t>P18U3-20-2</t>
  </si>
  <si>
    <t>P18U3-20-3</t>
  </si>
  <si>
    <t>P18U3-20-4</t>
  </si>
  <si>
    <t>P18U4-30-2</t>
  </si>
  <si>
    <t>P18U4-30-3</t>
  </si>
  <si>
    <t>P18U4-30-4</t>
  </si>
  <si>
    <t>P18U5-40-2</t>
  </si>
  <si>
    <t>P18U5-40-3</t>
  </si>
  <si>
    <t>P18U5-40-4</t>
  </si>
  <si>
    <t>P18U6-50-2</t>
  </si>
  <si>
    <t>P18U6-50-3</t>
  </si>
  <si>
    <t>P18U6-50-4</t>
  </si>
  <si>
    <t>P18U7-60-2</t>
  </si>
  <si>
    <t>P18U7-60-3</t>
  </si>
  <si>
    <t>P18U7-60-4</t>
  </si>
  <si>
    <t>P24U1-0-2</t>
  </si>
  <si>
    <t>P24U1-0-3</t>
  </si>
  <si>
    <t>P24U1-0-4</t>
  </si>
  <si>
    <t>P24U2-10-2</t>
  </si>
  <si>
    <t>P24U2-10-3</t>
  </si>
  <si>
    <t>P24U2-10-4</t>
  </si>
  <si>
    <t>P24U3-20-2</t>
  </si>
  <si>
    <t>P24U3-20-3</t>
  </si>
  <si>
    <t>P24U3-20-4</t>
  </si>
  <si>
    <t>P24U4-30-2</t>
  </si>
  <si>
    <t>P24U4-30-3</t>
  </si>
  <si>
    <t>P24U4-30-4</t>
  </si>
  <si>
    <t>P24U5-40-2</t>
  </si>
  <si>
    <t>P24U5-40-3</t>
  </si>
  <si>
    <t>P24U5-40-4</t>
  </si>
  <si>
    <t>P24U6-50-2</t>
  </si>
  <si>
    <t>P24U6-50-3</t>
  </si>
  <si>
    <t>P24U6-50-4</t>
  </si>
  <si>
    <t>P24U7-60-2</t>
  </si>
  <si>
    <t>P24U7-60-3</t>
  </si>
  <si>
    <t>P24U7-60-4</t>
  </si>
  <si>
    <t>P30U1-0-2</t>
  </si>
  <si>
    <t>P30U1-0-3</t>
  </si>
  <si>
    <t>P30U1-0-4</t>
  </si>
  <si>
    <t>P30U2-10-2</t>
  </si>
  <si>
    <t>P30U2-10-3</t>
  </si>
  <si>
    <t>P30U2-10-4</t>
  </si>
  <si>
    <t>P30U3-20-2</t>
  </si>
  <si>
    <t>P30U3-20-3</t>
  </si>
  <si>
    <t>P30U3-20-4</t>
  </si>
  <si>
    <t>P30U4-30-2</t>
  </si>
  <si>
    <t>P30U4-30-3</t>
  </si>
  <si>
    <t>P30U4-30-4</t>
  </si>
  <si>
    <t>P30U5-40-2</t>
  </si>
  <si>
    <t>P30U5-40-3</t>
  </si>
  <si>
    <t>P30U5-40-4</t>
  </si>
  <si>
    <t>P30U6-50-2</t>
  </si>
  <si>
    <t>P30U6-50-3</t>
  </si>
  <si>
    <t>P30U6-50-4</t>
  </si>
  <si>
    <t>P30U7-60-2</t>
  </si>
  <si>
    <t>P30U7-60-3</t>
  </si>
  <si>
    <t>P30U7-60-4</t>
  </si>
  <si>
    <t>P36U1-0-2</t>
  </si>
  <si>
    <t>P36U1-0-3</t>
  </si>
  <si>
    <t>P36U1-0-4</t>
  </si>
  <si>
    <t>P36U2-10-2</t>
  </si>
  <si>
    <t>P36U2-10-3</t>
  </si>
  <si>
    <t>P36U2-10-4</t>
  </si>
  <si>
    <t>P36U3-20-2</t>
  </si>
  <si>
    <t>P36U3-20-3</t>
  </si>
  <si>
    <t>P36U3-20-4</t>
  </si>
  <si>
    <t>P36U4-30-2</t>
  </si>
  <si>
    <t>P36U4-30-3</t>
  </si>
  <si>
    <t>P36U4-30-4</t>
  </si>
  <si>
    <t>P36U5-40-2</t>
  </si>
  <si>
    <t>P36U5-40-3</t>
  </si>
  <si>
    <t>P36U5-40-4</t>
  </si>
  <si>
    <t>P36U6-50-2</t>
  </si>
  <si>
    <t>P36U6-50-3</t>
  </si>
  <si>
    <t>P36U6-50-4</t>
  </si>
  <si>
    <t>P36U7-60-2</t>
  </si>
  <si>
    <t>P36U7-60-3</t>
  </si>
  <si>
    <t>P36U7-60-4</t>
  </si>
  <si>
    <t>P42U1-0-2</t>
  </si>
  <si>
    <t>P42U1-0-3</t>
  </si>
  <si>
    <t>P42U1-0-4</t>
  </si>
  <si>
    <t>P42U2-10-2</t>
  </si>
  <si>
    <t>P42U2-10-3</t>
  </si>
  <si>
    <t>P42U2-10-4</t>
  </si>
  <si>
    <t>P42U3-20-2</t>
  </si>
  <si>
    <t>P42U3-20-3</t>
  </si>
  <si>
    <t>P42U3-20-4</t>
  </si>
  <si>
    <t>P42U4-30-2</t>
  </si>
  <si>
    <t>P42U4-30-3</t>
  </si>
  <si>
    <t>P42U4-30-4</t>
  </si>
  <si>
    <t>P42U5-40-2</t>
  </si>
  <si>
    <t>P42U5-40-3</t>
  </si>
  <si>
    <t>P42U5-40-4</t>
  </si>
  <si>
    <t>P42U6-50-2</t>
  </si>
  <si>
    <t>P42U6-50-3</t>
  </si>
  <si>
    <t>P42U6-50-4</t>
  </si>
  <si>
    <t>P42U7-60-2</t>
  </si>
  <si>
    <t>P42U7-60-3</t>
  </si>
  <si>
    <t>P42U7-60-4</t>
  </si>
  <si>
    <t>P48U1-0-2</t>
  </si>
  <si>
    <t>P48U1-0-3</t>
  </si>
  <si>
    <t>P48U1-0-4</t>
  </si>
  <si>
    <t>P48U2-10-2</t>
  </si>
  <si>
    <t>P48U2-10-3</t>
  </si>
  <si>
    <t>P48U2-10-4</t>
  </si>
  <si>
    <t>P48U3-20-2</t>
  </si>
  <si>
    <t>P48U3-20-3</t>
  </si>
  <si>
    <t>P48U3-20-4</t>
  </si>
  <si>
    <t>P48U4-30-2</t>
  </si>
  <si>
    <t>P48U4-30-3</t>
  </si>
  <si>
    <t>P48U4-30-4</t>
  </si>
  <si>
    <t>P48U5-40-2</t>
  </si>
  <si>
    <t>P48U5-40-3</t>
  </si>
  <si>
    <t>P48U5-40-4</t>
  </si>
  <si>
    <t>P48U6-50-2</t>
  </si>
  <si>
    <t>P48U6-50-3</t>
  </si>
  <si>
    <t>P48U6-50-4</t>
  </si>
  <si>
    <t>P48U7-60-2</t>
  </si>
  <si>
    <t>P48U7-60-3</t>
  </si>
  <si>
    <t>P48U7-60-4</t>
  </si>
  <si>
    <t>Total Data</t>
  </si>
  <si>
    <t>P0 = Perlakuan Masa simpan 0 Jam</t>
  </si>
  <si>
    <t>P6 = Perlakuan Masa simpan 6 Jam</t>
  </si>
  <si>
    <t>P12 = Perlakuan Masa simpan 12 Jam</t>
  </si>
  <si>
    <t>P18 = Perlakuan Masa simpan 18 Jam</t>
  </si>
  <si>
    <t>P24 = Perlakuan Masa simpan 24 Jam</t>
  </si>
  <si>
    <t>P30 = Perlakuan Masa simpan 30 Jam</t>
  </si>
  <si>
    <t>P36 = Perlakuan Masa simpan 36 Jam</t>
  </si>
  <si>
    <t>P42 = Perlakuan Masa simpan 42 Jam</t>
  </si>
  <si>
    <t>P48 = Perlakuan Masa simpan 48 Jam</t>
  </si>
  <si>
    <t>U1-0 = Ulangan 1 , Pewarnaan 0 Menit</t>
  </si>
  <si>
    <t>U2-10 = Ulangan 2 , Pewarnaan 10 Menit</t>
  </si>
  <si>
    <t>U3-20 = Ulangan 3 , Pewarnaan 20 Menit</t>
  </si>
  <si>
    <t>U4-30 = Ulangan 4 , Pewarnaan 30 Menit</t>
  </si>
  <si>
    <t>U5-40 = Ulangan 5 , Pewarnaan 40 Menit</t>
  </si>
  <si>
    <t>U6-50 = Ulangan 6 , Pewarnaan 50 Menit</t>
  </si>
  <si>
    <t>U7-60 = Ulangan 7 , Pewarnaan 60 Menit</t>
  </si>
  <si>
    <t>pH</t>
  </si>
  <si>
    <t>Qualitas Kimia Susu Segar Selama Penyimpanan</t>
  </si>
  <si>
    <t>Total Asam %</t>
  </si>
  <si>
    <t>TPC (CFU/ml)</t>
  </si>
  <si>
    <t>Kategori</t>
  </si>
  <si>
    <t>Sampel</t>
  </si>
  <si>
    <t>Baik</t>
  </si>
  <si>
    <t>Cukup</t>
  </si>
  <si>
    <t>Buruk</t>
  </si>
  <si>
    <t>Ditolak</t>
  </si>
  <si>
    <t>6 12</t>
  </si>
  <si>
    <t>12 24</t>
  </si>
  <si>
    <t>24 36</t>
  </si>
  <si>
    <t>36 48</t>
  </si>
  <si>
    <t>Rusak</t>
  </si>
  <si>
    <t>Rusak 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</si>
</sst>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57C8-0FAF-2F48-932F-2951F383AB6A}">
  <dimension ref="A1:AT44"/>
  <sheetViews>
    <sheetView topLeftCell="AD16" zoomScale="55" zoomScaleNormal="55" workbookViewId="0">
      <selection activeCell="A3" sqref="A3:AS31"/>
    </sheetView>
  </sheetViews>
  <sheetFormatPr defaultColWidth="11" defaultRowHeight="15.75" x14ac:dyDescent="0.25"/>
  <cols>
    <col min="1" max="1" width="19.375" customWidth="1"/>
    <col min="3" max="3" width="20.5" bestFit="1" customWidth="1"/>
    <col min="4" max="5" width="20.5" customWidth="1"/>
    <col min="6" max="6" width="18.5" customWidth="1"/>
    <col min="8" max="8" width="20.5" bestFit="1" customWidth="1"/>
    <col min="9" max="9" width="20" bestFit="1" customWidth="1"/>
    <col min="10" max="10" width="13" bestFit="1" customWidth="1"/>
    <col min="11" max="11" width="19.5" customWidth="1"/>
    <col min="13" max="13" width="20.5" bestFit="1" customWidth="1"/>
    <col min="14" max="14" width="20" bestFit="1" customWidth="1"/>
    <col min="15" max="15" width="13" bestFit="1" customWidth="1"/>
    <col min="16" max="16" width="17.625" customWidth="1"/>
    <col min="18" max="18" width="20.5" bestFit="1" customWidth="1"/>
    <col min="19" max="19" width="20" bestFit="1" customWidth="1"/>
    <col min="20" max="20" width="13" bestFit="1" customWidth="1"/>
    <col min="21" max="21" width="18.125" bestFit="1" customWidth="1"/>
    <col min="23" max="23" width="20.5" bestFit="1" customWidth="1"/>
    <col min="24" max="24" width="20" bestFit="1" customWidth="1"/>
    <col min="25" max="25" width="13" bestFit="1" customWidth="1"/>
    <col min="26" max="26" width="18.125" bestFit="1" customWidth="1"/>
    <col min="28" max="28" width="20.5" bestFit="1" customWidth="1"/>
    <col min="29" max="29" width="20" bestFit="1" customWidth="1"/>
    <col min="30" max="30" width="13" bestFit="1" customWidth="1"/>
    <col min="31" max="31" width="18.125" bestFit="1" customWidth="1"/>
    <col min="32" max="32" width="10.875" customWidth="1"/>
    <col min="33" max="33" width="20.5" bestFit="1" customWidth="1"/>
    <col min="34" max="34" width="23.875" bestFit="1" customWidth="1"/>
    <col min="35" max="35" width="13" bestFit="1" customWidth="1"/>
    <col min="36" max="36" width="18.125" bestFit="1" customWidth="1"/>
    <col min="38" max="38" width="20.5" bestFit="1" customWidth="1"/>
    <col min="39" max="39" width="20" bestFit="1" customWidth="1"/>
    <col min="40" max="40" width="13" bestFit="1" customWidth="1"/>
    <col min="41" max="41" width="18.125" bestFit="1" customWidth="1"/>
    <col min="43" max="43" width="20.5" bestFit="1" customWidth="1"/>
    <col min="44" max="44" width="20" bestFit="1" customWidth="1"/>
    <col min="45" max="45" width="13" bestFit="1" customWidth="1"/>
  </cols>
  <sheetData>
    <row r="1" spans="1:46" x14ac:dyDescent="0.25">
      <c r="A1" s="7" t="s">
        <v>270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spans="1:4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6" ht="26.25" x14ac:dyDescent="0.4">
      <c r="A3" s="1" t="s">
        <v>274</v>
      </c>
      <c r="B3" s="2" t="s">
        <v>269</v>
      </c>
      <c r="C3" s="2" t="s">
        <v>271</v>
      </c>
      <c r="D3" s="2" t="s">
        <v>272</v>
      </c>
      <c r="E3" s="2" t="s">
        <v>273</v>
      </c>
      <c r="F3" s="1" t="s">
        <v>274</v>
      </c>
      <c r="G3" s="2" t="s">
        <v>269</v>
      </c>
      <c r="H3" s="2" t="s">
        <v>271</v>
      </c>
      <c r="I3" s="2" t="s">
        <v>272</v>
      </c>
      <c r="J3" s="2" t="s">
        <v>273</v>
      </c>
      <c r="K3" s="1"/>
      <c r="L3" s="2" t="s">
        <v>269</v>
      </c>
      <c r="M3" s="2" t="s">
        <v>271</v>
      </c>
      <c r="N3" s="2" t="s">
        <v>272</v>
      </c>
      <c r="O3" s="2" t="s">
        <v>273</v>
      </c>
      <c r="P3" s="1"/>
      <c r="Q3" s="2" t="s">
        <v>269</v>
      </c>
      <c r="R3" s="2" t="s">
        <v>271</v>
      </c>
      <c r="S3" s="2" t="s">
        <v>272</v>
      </c>
      <c r="T3" s="2" t="s">
        <v>273</v>
      </c>
      <c r="U3" s="1"/>
      <c r="V3" s="2" t="s">
        <v>269</v>
      </c>
      <c r="W3" s="2" t="s">
        <v>271</v>
      </c>
      <c r="X3" s="2" t="s">
        <v>272</v>
      </c>
      <c r="Y3" s="2" t="s">
        <v>273</v>
      </c>
      <c r="Z3" s="1"/>
      <c r="AA3" s="2" t="s">
        <v>269</v>
      </c>
      <c r="AB3" s="2" t="s">
        <v>271</v>
      </c>
      <c r="AC3" s="2" t="s">
        <v>272</v>
      </c>
      <c r="AD3" s="2" t="s">
        <v>273</v>
      </c>
      <c r="AE3" s="1"/>
      <c r="AF3" s="2" t="s">
        <v>269</v>
      </c>
      <c r="AG3" s="2" t="s">
        <v>271</v>
      </c>
      <c r="AH3" s="2" t="s">
        <v>272</v>
      </c>
      <c r="AI3" s="2" t="s">
        <v>273</v>
      </c>
      <c r="AJ3" s="1"/>
      <c r="AK3" s="2" t="s">
        <v>269</v>
      </c>
      <c r="AL3" s="2" t="s">
        <v>271</v>
      </c>
      <c r="AM3" s="2" t="s">
        <v>272</v>
      </c>
      <c r="AN3" s="2" t="s">
        <v>273</v>
      </c>
      <c r="AO3" s="1"/>
      <c r="AP3" s="2" t="s">
        <v>269</v>
      </c>
      <c r="AQ3" s="2" t="s">
        <v>271</v>
      </c>
      <c r="AR3" s="2" t="s">
        <v>272</v>
      </c>
      <c r="AS3" s="2" t="s">
        <v>273</v>
      </c>
    </row>
    <row r="4" spans="1:46" ht="26.25" x14ac:dyDescent="0.4">
      <c r="A4" s="1" t="s">
        <v>0</v>
      </c>
      <c r="B4" s="2">
        <v>6.66</v>
      </c>
      <c r="C4" s="2">
        <v>0</v>
      </c>
      <c r="D4" s="5">
        <v>189845.37</v>
      </c>
      <c r="E4" s="2" t="s">
        <v>275</v>
      </c>
      <c r="F4" s="1" t="s">
        <v>28</v>
      </c>
      <c r="G4" s="2">
        <v>6.42</v>
      </c>
      <c r="H4" s="2">
        <v>0</v>
      </c>
      <c r="I4" s="5">
        <v>502111.31</v>
      </c>
      <c r="J4" s="2" t="s">
        <v>276</v>
      </c>
      <c r="K4" s="1" t="s">
        <v>56</v>
      </c>
      <c r="L4" s="2">
        <v>6.16</v>
      </c>
      <c r="M4" s="2">
        <v>0</v>
      </c>
      <c r="N4" s="5">
        <v>1440124.37</v>
      </c>
      <c r="O4" s="2" t="s">
        <v>277</v>
      </c>
      <c r="P4" s="1" t="s">
        <v>57</v>
      </c>
      <c r="Q4" s="2">
        <v>5.99</v>
      </c>
      <c r="R4" s="2">
        <v>2E-3</v>
      </c>
      <c r="S4" s="5">
        <v>2868137.71</v>
      </c>
      <c r="T4" s="2" t="s">
        <v>277</v>
      </c>
      <c r="U4" s="1" t="s">
        <v>58</v>
      </c>
      <c r="V4" s="2">
        <v>5.68</v>
      </c>
      <c r="W4" s="2">
        <v>4.8000000000000001E-2</v>
      </c>
      <c r="X4" s="5">
        <v>10073954.85</v>
      </c>
      <c r="Y4" s="2" t="s">
        <v>278</v>
      </c>
      <c r="Z4" s="1" t="s">
        <v>77</v>
      </c>
      <c r="AA4" s="2">
        <v>5.37</v>
      </c>
      <c r="AB4" s="2">
        <v>9.5000000000000001E-2</v>
      </c>
      <c r="AC4" s="5">
        <v>35383435.68</v>
      </c>
      <c r="AD4" s="2" t="s">
        <v>278</v>
      </c>
      <c r="AE4" s="1" t="s">
        <v>84</v>
      </c>
      <c r="AF4" s="2">
        <v>5.0999999999999996</v>
      </c>
      <c r="AG4" s="2">
        <v>0.13500000000000001</v>
      </c>
      <c r="AH4" s="5">
        <v>105681750.92</v>
      </c>
      <c r="AI4" s="2" t="s">
        <v>278</v>
      </c>
      <c r="AJ4" s="1" t="s">
        <v>91</v>
      </c>
      <c r="AK4" s="2">
        <v>4.76</v>
      </c>
      <c r="AL4" s="2">
        <v>0.186</v>
      </c>
      <c r="AM4" s="2">
        <v>419179465.93000001</v>
      </c>
      <c r="AN4" s="2" t="s">
        <v>278</v>
      </c>
      <c r="AO4" s="1" t="s">
        <v>98</v>
      </c>
      <c r="AP4" s="2">
        <v>4.4800000000000004</v>
      </c>
      <c r="AQ4" s="2">
        <v>0.22800000000000001</v>
      </c>
      <c r="AR4" s="2">
        <v>1303767047.1400001</v>
      </c>
      <c r="AS4" s="1" t="s">
        <v>278</v>
      </c>
      <c r="AT4" s="6">
        <v>1</v>
      </c>
    </row>
    <row r="5" spans="1:46" ht="26.25" x14ac:dyDescent="0.4">
      <c r="A5" s="1" t="s">
        <v>1</v>
      </c>
      <c r="B5" s="2">
        <v>6.66</v>
      </c>
      <c r="C5" s="2">
        <v>0</v>
      </c>
      <c r="D5" s="5">
        <v>189845.37</v>
      </c>
      <c r="E5" s="2" t="s">
        <v>275</v>
      </c>
      <c r="F5" s="1" t="s">
        <v>29</v>
      </c>
      <c r="G5" s="2">
        <v>6.42</v>
      </c>
      <c r="H5" s="2">
        <v>0</v>
      </c>
      <c r="I5" s="5">
        <v>502111.31</v>
      </c>
      <c r="J5" s="2" t="s">
        <v>276</v>
      </c>
      <c r="K5" s="1" t="s">
        <v>105</v>
      </c>
      <c r="L5" s="2">
        <v>6.16</v>
      </c>
      <c r="M5" s="2">
        <v>0</v>
      </c>
      <c r="N5" s="5">
        <v>1440124.37</v>
      </c>
      <c r="O5" s="2" t="s">
        <v>277</v>
      </c>
      <c r="P5" s="1" t="s">
        <v>126</v>
      </c>
      <c r="Q5" s="2">
        <v>5.99</v>
      </c>
      <c r="R5" s="2">
        <v>2E-3</v>
      </c>
      <c r="S5" s="5">
        <v>2868137.71</v>
      </c>
      <c r="T5" s="2" t="s">
        <v>277</v>
      </c>
      <c r="U5" s="1" t="s">
        <v>147</v>
      </c>
      <c r="V5" s="2">
        <v>5.68</v>
      </c>
      <c r="W5" s="2">
        <v>4.8000000000000001E-2</v>
      </c>
      <c r="X5" s="5">
        <v>10073954.85</v>
      </c>
      <c r="Y5" s="2" t="s">
        <v>278</v>
      </c>
      <c r="Z5" s="1" t="s">
        <v>168</v>
      </c>
      <c r="AA5" s="2">
        <v>5.37</v>
      </c>
      <c r="AB5" s="2">
        <v>9.5000000000000001E-2</v>
      </c>
      <c r="AC5" s="5">
        <v>35383435.68</v>
      </c>
      <c r="AD5" s="2" t="s">
        <v>278</v>
      </c>
      <c r="AE5" s="1" t="s">
        <v>189</v>
      </c>
      <c r="AF5" s="2">
        <v>5.0999999999999996</v>
      </c>
      <c r="AG5" s="2">
        <v>0.13500000000000001</v>
      </c>
      <c r="AH5" s="5">
        <v>105681750.92</v>
      </c>
      <c r="AI5" s="2" t="s">
        <v>278</v>
      </c>
      <c r="AJ5" s="1" t="s">
        <v>210</v>
      </c>
      <c r="AK5" s="2">
        <v>4.76</v>
      </c>
      <c r="AL5" s="2">
        <v>0.186</v>
      </c>
      <c r="AM5" s="2">
        <v>419179465.93000001</v>
      </c>
      <c r="AN5" s="2" t="s">
        <v>278</v>
      </c>
      <c r="AO5" s="1" t="s">
        <v>231</v>
      </c>
      <c r="AP5" s="2">
        <v>4.4800000000000004</v>
      </c>
      <c r="AQ5" s="2">
        <v>0.22800000000000001</v>
      </c>
      <c r="AR5" s="2">
        <v>1303767047.1400001</v>
      </c>
      <c r="AS5" s="1" t="s">
        <v>278</v>
      </c>
      <c r="AT5" s="6">
        <v>2</v>
      </c>
    </row>
    <row r="6" spans="1:46" ht="26.25" x14ac:dyDescent="0.4">
      <c r="A6" s="1" t="s">
        <v>2</v>
      </c>
      <c r="B6" s="2">
        <v>6.66</v>
      </c>
      <c r="C6" s="2">
        <v>0</v>
      </c>
      <c r="D6" s="5">
        <v>189845.37</v>
      </c>
      <c r="E6" s="2" t="s">
        <v>275</v>
      </c>
      <c r="F6" s="1" t="s">
        <v>30</v>
      </c>
      <c r="G6" s="2">
        <v>6.42</v>
      </c>
      <c r="H6" s="2">
        <v>0</v>
      </c>
      <c r="I6" s="5">
        <v>502111.31</v>
      </c>
      <c r="J6" s="2" t="s">
        <v>276</v>
      </c>
      <c r="K6" s="1" t="s">
        <v>106</v>
      </c>
      <c r="L6" s="2">
        <v>6.16</v>
      </c>
      <c r="M6" s="2">
        <v>0</v>
      </c>
      <c r="N6" s="5">
        <v>1440124.37</v>
      </c>
      <c r="O6" s="2" t="s">
        <v>277</v>
      </c>
      <c r="P6" s="1" t="s">
        <v>127</v>
      </c>
      <c r="Q6" s="2">
        <v>5.99</v>
      </c>
      <c r="R6" s="2">
        <v>2E-3</v>
      </c>
      <c r="S6" s="5">
        <v>2868137.71</v>
      </c>
      <c r="T6" s="2" t="s">
        <v>277</v>
      </c>
      <c r="U6" s="1" t="s">
        <v>148</v>
      </c>
      <c r="V6" s="2">
        <v>5.68</v>
      </c>
      <c r="W6" s="2">
        <v>4.8000000000000001E-2</v>
      </c>
      <c r="X6" s="5">
        <v>10073954.85</v>
      </c>
      <c r="Y6" s="2" t="s">
        <v>278</v>
      </c>
      <c r="Z6" s="1" t="s">
        <v>169</v>
      </c>
      <c r="AA6" s="2">
        <v>5.37</v>
      </c>
      <c r="AB6" s="2">
        <v>9.5000000000000001E-2</v>
      </c>
      <c r="AC6" s="5">
        <v>35383435.68</v>
      </c>
      <c r="AD6" s="2" t="s">
        <v>278</v>
      </c>
      <c r="AE6" s="1" t="s">
        <v>190</v>
      </c>
      <c r="AF6" s="2">
        <v>5.0999999999999996</v>
      </c>
      <c r="AG6" s="2">
        <v>0.13500000000000001</v>
      </c>
      <c r="AH6" s="5">
        <v>105681750.92</v>
      </c>
      <c r="AI6" s="2" t="s">
        <v>278</v>
      </c>
      <c r="AJ6" s="1" t="s">
        <v>211</v>
      </c>
      <c r="AK6" s="2">
        <v>4.76</v>
      </c>
      <c r="AL6" s="2">
        <v>0.186</v>
      </c>
      <c r="AM6" s="2">
        <v>419179465.93000001</v>
      </c>
      <c r="AN6" s="2" t="s">
        <v>278</v>
      </c>
      <c r="AO6" s="1" t="s">
        <v>232</v>
      </c>
      <c r="AP6" s="2">
        <v>4.4800000000000004</v>
      </c>
      <c r="AQ6" s="2">
        <v>0.22800000000000001</v>
      </c>
      <c r="AR6" s="2">
        <v>1303767047.1400001</v>
      </c>
      <c r="AS6" s="1" t="s">
        <v>278</v>
      </c>
      <c r="AT6" s="6">
        <v>3</v>
      </c>
    </row>
    <row r="7" spans="1:46" ht="26.25" x14ac:dyDescent="0.4">
      <c r="A7" s="1" t="s">
        <v>3</v>
      </c>
      <c r="B7" s="2">
        <v>6.66</v>
      </c>
      <c r="C7" s="2">
        <v>0</v>
      </c>
      <c r="D7" s="5">
        <v>189845.37</v>
      </c>
      <c r="E7" s="2" t="s">
        <v>275</v>
      </c>
      <c r="F7" s="1" t="s">
        <v>31</v>
      </c>
      <c r="G7" s="2">
        <v>6.42</v>
      </c>
      <c r="H7" s="2">
        <v>0</v>
      </c>
      <c r="I7" s="5">
        <v>502111.31</v>
      </c>
      <c r="J7" s="2" t="s">
        <v>276</v>
      </c>
      <c r="K7" s="1" t="s">
        <v>107</v>
      </c>
      <c r="L7" s="2">
        <v>6.16</v>
      </c>
      <c r="M7" s="2">
        <v>0</v>
      </c>
      <c r="N7" s="5">
        <v>1440124.37</v>
      </c>
      <c r="O7" s="2" t="s">
        <v>277</v>
      </c>
      <c r="P7" s="1" t="s">
        <v>128</v>
      </c>
      <c r="Q7" s="2">
        <v>5.99</v>
      </c>
      <c r="R7" s="2">
        <v>2E-3</v>
      </c>
      <c r="S7" s="5">
        <v>2868137.71</v>
      </c>
      <c r="T7" s="2" t="s">
        <v>277</v>
      </c>
      <c r="U7" s="1" t="s">
        <v>149</v>
      </c>
      <c r="V7" s="2">
        <v>5.68</v>
      </c>
      <c r="W7" s="2">
        <v>4.8000000000000001E-2</v>
      </c>
      <c r="X7" s="5">
        <v>10073954.85</v>
      </c>
      <c r="Y7" s="2" t="s">
        <v>278</v>
      </c>
      <c r="Z7" s="1" t="s">
        <v>170</v>
      </c>
      <c r="AA7" s="2">
        <v>5.37</v>
      </c>
      <c r="AB7" s="2">
        <v>9.5000000000000001E-2</v>
      </c>
      <c r="AC7" s="5">
        <v>35383435.68</v>
      </c>
      <c r="AD7" s="2" t="s">
        <v>278</v>
      </c>
      <c r="AE7" s="1" t="s">
        <v>191</v>
      </c>
      <c r="AF7" s="2">
        <v>5.0999999999999996</v>
      </c>
      <c r="AG7" s="2">
        <v>0.13500000000000001</v>
      </c>
      <c r="AH7" s="5">
        <v>105681750.92</v>
      </c>
      <c r="AI7" s="2" t="s">
        <v>278</v>
      </c>
      <c r="AJ7" s="1" t="s">
        <v>212</v>
      </c>
      <c r="AK7" s="2">
        <v>4.76</v>
      </c>
      <c r="AL7" s="2">
        <v>0.186</v>
      </c>
      <c r="AM7" s="2">
        <v>419179465.93000001</v>
      </c>
      <c r="AN7" s="2" t="s">
        <v>278</v>
      </c>
      <c r="AO7" s="1" t="s">
        <v>233</v>
      </c>
      <c r="AP7" s="2">
        <v>4.4800000000000004</v>
      </c>
      <c r="AQ7" s="2">
        <v>0.22800000000000001</v>
      </c>
      <c r="AR7" s="2">
        <v>1303767047.1400001</v>
      </c>
      <c r="AS7" s="1" t="s">
        <v>278</v>
      </c>
      <c r="AT7" s="6">
        <v>4</v>
      </c>
    </row>
    <row r="8" spans="1:46" ht="26.25" x14ac:dyDescent="0.4">
      <c r="A8" s="1" t="s">
        <v>4</v>
      </c>
      <c r="B8" s="2">
        <v>6.51</v>
      </c>
      <c r="C8" s="2">
        <v>0</v>
      </c>
      <c r="D8" s="5">
        <v>205873.29</v>
      </c>
      <c r="E8" s="2" t="s">
        <v>275</v>
      </c>
      <c r="F8" s="1" t="s">
        <v>32</v>
      </c>
      <c r="G8" s="2">
        <v>6.39</v>
      </c>
      <c r="H8" s="2">
        <v>0</v>
      </c>
      <c r="I8" s="5">
        <v>567022.12</v>
      </c>
      <c r="J8" s="2" t="s">
        <v>276</v>
      </c>
      <c r="K8" s="1" t="s">
        <v>59</v>
      </c>
      <c r="L8" s="2">
        <v>6.19</v>
      </c>
      <c r="M8" s="2">
        <v>0</v>
      </c>
      <c r="N8" s="5">
        <v>1275263.71</v>
      </c>
      <c r="O8" s="2" t="s">
        <v>277</v>
      </c>
      <c r="P8" s="1" t="s">
        <v>65</v>
      </c>
      <c r="Q8" s="2">
        <v>6</v>
      </c>
      <c r="R8" s="2">
        <v>0</v>
      </c>
      <c r="S8" s="5">
        <v>2754228.7</v>
      </c>
      <c r="T8" s="2" t="s">
        <v>277</v>
      </c>
      <c r="U8" s="1" t="s">
        <v>71</v>
      </c>
      <c r="V8" s="2">
        <v>5.69</v>
      </c>
      <c r="W8" s="2">
        <v>4.5999999999999999E-2</v>
      </c>
      <c r="X8" s="5">
        <v>9673864.5</v>
      </c>
      <c r="Y8" s="2" t="s">
        <v>277</v>
      </c>
      <c r="Z8" s="1" t="s">
        <v>78</v>
      </c>
      <c r="AA8" s="2">
        <v>5.41</v>
      </c>
      <c r="AB8" s="2">
        <v>8.8999999999999996E-2</v>
      </c>
      <c r="AC8" s="5">
        <v>30088462.77</v>
      </c>
      <c r="AD8" s="2" t="s">
        <v>278</v>
      </c>
      <c r="AE8" s="1" t="s">
        <v>85</v>
      </c>
      <c r="AF8" s="2">
        <v>5.09</v>
      </c>
      <c r="AG8" s="2">
        <v>0.13700000000000001</v>
      </c>
      <c r="AH8" s="5">
        <v>110052522.14</v>
      </c>
      <c r="AI8" s="2" t="s">
        <v>278</v>
      </c>
      <c r="AJ8" s="1" t="s">
        <v>92</v>
      </c>
      <c r="AK8" s="2">
        <v>4.8099999999999996</v>
      </c>
      <c r="AL8" s="2">
        <v>0.17899999999999999</v>
      </c>
      <c r="AM8" s="2">
        <v>342294562.31999999</v>
      </c>
      <c r="AN8" s="2" t="s">
        <v>278</v>
      </c>
      <c r="AO8" s="1" t="s">
        <v>99</v>
      </c>
      <c r="AP8" s="2">
        <v>4.49</v>
      </c>
      <c r="AQ8" s="2">
        <v>0.22700000000000001</v>
      </c>
      <c r="AR8" s="2">
        <v>1251987520.6199999</v>
      </c>
      <c r="AS8" s="1" t="s">
        <v>278</v>
      </c>
      <c r="AT8" s="6">
        <v>5</v>
      </c>
    </row>
    <row r="9" spans="1:46" ht="26.25" x14ac:dyDescent="0.4">
      <c r="A9" s="1" t="s">
        <v>5</v>
      </c>
      <c r="B9" s="2">
        <v>6.51</v>
      </c>
      <c r="C9" s="2">
        <v>0</v>
      </c>
      <c r="D9" s="5">
        <v>205873.29</v>
      </c>
      <c r="E9" s="2" t="s">
        <v>275</v>
      </c>
      <c r="F9" s="1" t="s">
        <v>33</v>
      </c>
      <c r="G9" s="2">
        <v>6.39</v>
      </c>
      <c r="H9" s="2">
        <v>0</v>
      </c>
      <c r="I9" s="5">
        <v>567022.12</v>
      </c>
      <c r="J9" s="2" t="s">
        <v>276</v>
      </c>
      <c r="K9" s="1" t="s">
        <v>108</v>
      </c>
      <c r="L9" s="2">
        <v>6.19</v>
      </c>
      <c r="M9" s="2">
        <v>0</v>
      </c>
      <c r="N9" s="5">
        <v>1275263.71</v>
      </c>
      <c r="O9" s="2" t="s">
        <v>277</v>
      </c>
      <c r="P9" s="1" t="s">
        <v>129</v>
      </c>
      <c r="Q9" s="2">
        <v>6</v>
      </c>
      <c r="R9" s="2">
        <v>0</v>
      </c>
      <c r="S9" s="5">
        <v>2754228.7</v>
      </c>
      <c r="T9" s="2" t="s">
        <v>277</v>
      </c>
      <c r="U9" s="1" t="s">
        <v>150</v>
      </c>
      <c r="V9" s="2">
        <v>5.69</v>
      </c>
      <c r="W9" s="2">
        <v>4.5999999999999999E-2</v>
      </c>
      <c r="X9" s="5">
        <v>9673864.5</v>
      </c>
      <c r="Y9" s="2" t="s">
        <v>277</v>
      </c>
      <c r="Z9" s="1" t="s">
        <v>171</v>
      </c>
      <c r="AA9" s="2">
        <v>5.41</v>
      </c>
      <c r="AB9" s="2">
        <v>8.8999999999999996E-2</v>
      </c>
      <c r="AC9" s="5">
        <v>30088462.77</v>
      </c>
      <c r="AD9" s="2" t="s">
        <v>278</v>
      </c>
      <c r="AE9" s="1" t="s">
        <v>192</v>
      </c>
      <c r="AF9" s="2">
        <v>5.09</v>
      </c>
      <c r="AG9" s="2">
        <v>0.13700000000000001</v>
      </c>
      <c r="AH9" s="5">
        <v>110052522.14</v>
      </c>
      <c r="AI9" s="2" t="s">
        <v>278</v>
      </c>
      <c r="AJ9" s="1" t="s">
        <v>213</v>
      </c>
      <c r="AK9" s="2">
        <v>4.8099999999999996</v>
      </c>
      <c r="AL9" s="2">
        <v>0.17899999999999999</v>
      </c>
      <c r="AM9" s="2">
        <v>342294562.31999999</v>
      </c>
      <c r="AN9" s="2" t="s">
        <v>278</v>
      </c>
      <c r="AO9" s="1" t="s">
        <v>234</v>
      </c>
      <c r="AP9" s="2">
        <v>4.49</v>
      </c>
      <c r="AQ9" s="2">
        <v>0.22700000000000001</v>
      </c>
      <c r="AR9" s="2">
        <v>1251987520.6199999</v>
      </c>
      <c r="AS9" s="1" t="s">
        <v>278</v>
      </c>
      <c r="AT9" s="6">
        <v>6</v>
      </c>
    </row>
    <row r="10" spans="1:46" ht="26.25" x14ac:dyDescent="0.4">
      <c r="A10" s="1" t="s">
        <v>6</v>
      </c>
      <c r="B10" s="2">
        <v>6.51</v>
      </c>
      <c r="C10" s="2">
        <v>0</v>
      </c>
      <c r="D10" s="5">
        <v>205873.29</v>
      </c>
      <c r="E10" s="2" t="s">
        <v>275</v>
      </c>
      <c r="F10" s="1" t="s">
        <v>34</v>
      </c>
      <c r="G10" s="2">
        <v>6.39</v>
      </c>
      <c r="H10" s="2">
        <v>0</v>
      </c>
      <c r="I10" s="5">
        <v>567022.12</v>
      </c>
      <c r="J10" s="2" t="s">
        <v>276</v>
      </c>
      <c r="K10" s="1" t="s">
        <v>109</v>
      </c>
      <c r="L10" s="2">
        <v>6.19</v>
      </c>
      <c r="M10" s="2">
        <v>0</v>
      </c>
      <c r="N10" s="5">
        <v>1275263.71</v>
      </c>
      <c r="O10" s="2" t="s">
        <v>277</v>
      </c>
      <c r="P10" s="1" t="s">
        <v>130</v>
      </c>
      <c r="Q10" s="2">
        <v>6</v>
      </c>
      <c r="R10" s="2">
        <v>0</v>
      </c>
      <c r="S10" s="5">
        <v>2754228.7</v>
      </c>
      <c r="T10" s="2" t="s">
        <v>277</v>
      </c>
      <c r="U10" s="1" t="s">
        <v>151</v>
      </c>
      <c r="V10" s="2">
        <v>5.69</v>
      </c>
      <c r="W10" s="2">
        <v>4.5999999999999999E-2</v>
      </c>
      <c r="X10" s="5">
        <v>9673864.5</v>
      </c>
      <c r="Y10" s="2" t="s">
        <v>277</v>
      </c>
      <c r="Z10" s="1" t="s">
        <v>172</v>
      </c>
      <c r="AA10" s="2">
        <v>5.41</v>
      </c>
      <c r="AB10" s="2">
        <v>8.8999999999999996E-2</v>
      </c>
      <c r="AC10" s="5">
        <v>30088462.77</v>
      </c>
      <c r="AD10" s="2" t="s">
        <v>278</v>
      </c>
      <c r="AE10" s="1" t="s">
        <v>193</v>
      </c>
      <c r="AF10" s="2">
        <v>5.09</v>
      </c>
      <c r="AG10" s="2">
        <v>0.13700000000000001</v>
      </c>
      <c r="AH10" s="5">
        <v>110052522.14</v>
      </c>
      <c r="AI10" s="2" t="s">
        <v>278</v>
      </c>
      <c r="AJ10" s="1" t="s">
        <v>214</v>
      </c>
      <c r="AK10" s="2">
        <v>4.8099999999999996</v>
      </c>
      <c r="AL10" s="2">
        <v>0.17899999999999999</v>
      </c>
      <c r="AM10" s="2">
        <v>342294562.31999999</v>
      </c>
      <c r="AN10" s="2" t="s">
        <v>278</v>
      </c>
      <c r="AO10" s="1" t="s">
        <v>235</v>
      </c>
      <c r="AP10" s="2">
        <v>4.49</v>
      </c>
      <c r="AQ10" s="2">
        <v>0.22700000000000001</v>
      </c>
      <c r="AR10" s="2">
        <v>1251987520.6199999</v>
      </c>
      <c r="AS10" s="1" t="s">
        <v>278</v>
      </c>
      <c r="AT10" s="6">
        <v>7</v>
      </c>
    </row>
    <row r="11" spans="1:46" ht="26.25" x14ac:dyDescent="0.4">
      <c r="A11" s="1" t="s">
        <v>7</v>
      </c>
      <c r="B11" s="2">
        <v>6.51</v>
      </c>
      <c r="C11" s="2">
        <v>0</v>
      </c>
      <c r="D11" s="5">
        <v>205873.29</v>
      </c>
      <c r="E11" s="2" t="s">
        <v>275</v>
      </c>
      <c r="F11" s="1" t="s">
        <v>35</v>
      </c>
      <c r="G11" s="2">
        <v>6.39</v>
      </c>
      <c r="H11" s="2">
        <v>0</v>
      </c>
      <c r="I11" s="5">
        <v>567022.12</v>
      </c>
      <c r="J11" s="2" t="s">
        <v>276</v>
      </c>
      <c r="K11" s="1" t="s">
        <v>110</v>
      </c>
      <c r="L11" s="2">
        <v>6.19</v>
      </c>
      <c r="M11" s="2">
        <v>0</v>
      </c>
      <c r="N11" s="5">
        <v>1275263.71</v>
      </c>
      <c r="O11" s="2" t="s">
        <v>277</v>
      </c>
      <c r="P11" s="1" t="s">
        <v>131</v>
      </c>
      <c r="Q11" s="2">
        <v>6</v>
      </c>
      <c r="R11" s="2">
        <v>0</v>
      </c>
      <c r="S11" s="5">
        <v>2754228.7</v>
      </c>
      <c r="T11" s="2" t="s">
        <v>277</v>
      </c>
      <c r="U11" s="1" t="s">
        <v>152</v>
      </c>
      <c r="V11" s="2">
        <v>5.69</v>
      </c>
      <c r="W11" s="2">
        <v>4.5999999999999999E-2</v>
      </c>
      <c r="X11" s="5">
        <v>9673864.5</v>
      </c>
      <c r="Y11" s="2" t="s">
        <v>277</v>
      </c>
      <c r="Z11" s="1" t="s">
        <v>173</v>
      </c>
      <c r="AA11" s="2">
        <v>5.41</v>
      </c>
      <c r="AB11" s="2">
        <v>8.8999999999999996E-2</v>
      </c>
      <c r="AC11" s="5">
        <v>30088462.77</v>
      </c>
      <c r="AD11" s="2" t="s">
        <v>278</v>
      </c>
      <c r="AE11" s="1" t="s">
        <v>194</v>
      </c>
      <c r="AF11" s="2">
        <v>5.09</v>
      </c>
      <c r="AG11" s="2">
        <v>0.13700000000000001</v>
      </c>
      <c r="AH11" s="5">
        <v>110052522.14</v>
      </c>
      <c r="AI11" s="2" t="s">
        <v>278</v>
      </c>
      <c r="AJ11" s="1" t="s">
        <v>215</v>
      </c>
      <c r="AK11" s="2">
        <v>4.8099999999999996</v>
      </c>
      <c r="AL11" s="2">
        <v>0.17899999999999999</v>
      </c>
      <c r="AM11" s="2">
        <v>342294562.31999999</v>
      </c>
      <c r="AN11" s="2" t="s">
        <v>278</v>
      </c>
      <c r="AO11" s="1" t="s">
        <v>236</v>
      </c>
      <c r="AP11" s="2">
        <v>4.49</v>
      </c>
      <c r="AQ11" s="2">
        <v>0.22700000000000001</v>
      </c>
      <c r="AR11" s="2">
        <v>1251987520.6199999</v>
      </c>
      <c r="AS11" s="1" t="s">
        <v>278</v>
      </c>
      <c r="AT11" s="6">
        <v>8</v>
      </c>
    </row>
    <row r="12" spans="1:46" ht="26.25" x14ac:dyDescent="0.4">
      <c r="A12" s="1" t="s">
        <v>8</v>
      </c>
      <c r="B12" s="2">
        <v>6.6</v>
      </c>
      <c r="C12" s="2">
        <v>0</v>
      </c>
      <c r="D12" s="5">
        <v>168112.5</v>
      </c>
      <c r="E12" s="2" t="s">
        <v>275</v>
      </c>
      <c r="F12" s="1" t="s">
        <v>36</v>
      </c>
      <c r="G12" s="2">
        <v>6.41</v>
      </c>
      <c r="H12" s="2">
        <v>0</v>
      </c>
      <c r="I12" s="5">
        <v>522877.56</v>
      </c>
      <c r="J12" s="2" t="s">
        <v>276</v>
      </c>
      <c r="K12" s="1" t="s">
        <v>60</v>
      </c>
      <c r="L12" s="2">
        <v>6.17</v>
      </c>
      <c r="M12" s="2">
        <v>0</v>
      </c>
      <c r="N12" s="5">
        <v>1382929.37</v>
      </c>
      <c r="O12" s="2" t="s">
        <v>277</v>
      </c>
      <c r="P12" s="1" t="s">
        <v>66</v>
      </c>
      <c r="Q12" s="2">
        <v>5.96</v>
      </c>
      <c r="R12" s="2">
        <v>6.0000000000000001E-3</v>
      </c>
      <c r="S12" s="5">
        <v>3238918.35</v>
      </c>
      <c r="T12" s="2" t="s">
        <v>277</v>
      </c>
      <c r="U12" s="1" t="s">
        <v>72</v>
      </c>
      <c r="V12" s="2">
        <v>5.68</v>
      </c>
      <c r="W12" s="2">
        <v>4.8000000000000001E-2</v>
      </c>
      <c r="X12" s="5">
        <v>10073954.85</v>
      </c>
      <c r="Y12" s="2" t="s">
        <v>278</v>
      </c>
      <c r="Z12" s="1" t="s">
        <v>79</v>
      </c>
      <c r="AA12" s="2">
        <v>5.35</v>
      </c>
      <c r="AB12" s="2">
        <v>9.8000000000000004E-2</v>
      </c>
      <c r="AC12" s="5">
        <v>38370724.549999997</v>
      </c>
      <c r="AD12" s="2" t="s">
        <v>278</v>
      </c>
      <c r="AE12" s="1" t="s">
        <v>86</v>
      </c>
      <c r="AF12" s="2">
        <v>5.0599999999999996</v>
      </c>
      <c r="AG12" s="2">
        <v>0.14099999999999999</v>
      </c>
      <c r="AH12" s="5">
        <v>124279643.84</v>
      </c>
      <c r="AI12" s="2" t="s">
        <v>278</v>
      </c>
      <c r="AJ12" s="1" t="s">
        <v>93</v>
      </c>
      <c r="AK12" s="2">
        <v>4.79</v>
      </c>
      <c r="AL12" s="2">
        <v>0.182</v>
      </c>
      <c r="AM12" s="2">
        <v>371193190.04000002</v>
      </c>
      <c r="AN12" s="2" t="s">
        <v>278</v>
      </c>
      <c r="AO12" s="1" t="s">
        <v>100</v>
      </c>
      <c r="AP12" s="2">
        <v>4.51</v>
      </c>
      <c r="AQ12" s="2">
        <v>0.224</v>
      </c>
      <c r="AR12" s="2">
        <v>1154516116.9200001</v>
      </c>
      <c r="AS12" s="1" t="s">
        <v>278</v>
      </c>
      <c r="AT12" s="6">
        <v>9</v>
      </c>
    </row>
    <row r="13" spans="1:46" ht="26.25" x14ac:dyDescent="0.4">
      <c r="A13" s="1" t="s">
        <v>9</v>
      </c>
      <c r="B13" s="2">
        <v>6.6</v>
      </c>
      <c r="C13" s="2">
        <v>0</v>
      </c>
      <c r="D13" s="5">
        <v>168112.5</v>
      </c>
      <c r="E13" s="2" t="s">
        <v>275</v>
      </c>
      <c r="F13" s="1" t="s">
        <v>37</v>
      </c>
      <c r="G13" s="2">
        <v>6.41</v>
      </c>
      <c r="H13" s="2">
        <v>0</v>
      </c>
      <c r="I13" s="5">
        <v>522877.56</v>
      </c>
      <c r="J13" s="2" t="s">
        <v>276</v>
      </c>
      <c r="K13" s="1" t="s">
        <v>111</v>
      </c>
      <c r="L13" s="2">
        <v>6.17</v>
      </c>
      <c r="M13" s="2">
        <v>0</v>
      </c>
      <c r="N13" s="5">
        <v>1382929.37</v>
      </c>
      <c r="O13" s="2" t="s">
        <v>277</v>
      </c>
      <c r="P13" s="1" t="s">
        <v>132</v>
      </c>
      <c r="Q13" s="2">
        <v>5.96</v>
      </c>
      <c r="R13" s="2">
        <v>6.0000000000000001E-3</v>
      </c>
      <c r="S13" s="5">
        <v>3238918.35</v>
      </c>
      <c r="T13" s="2" t="s">
        <v>277</v>
      </c>
      <c r="U13" s="1" t="s">
        <v>153</v>
      </c>
      <c r="V13" s="2">
        <v>5.68</v>
      </c>
      <c r="W13" s="2">
        <v>4.8000000000000001E-2</v>
      </c>
      <c r="X13" s="5">
        <v>10073954.85</v>
      </c>
      <c r="Y13" s="2" t="s">
        <v>278</v>
      </c>
      <c r="Z13" s="1" t="s">
        <v>174</v>
      </c>
      <c r="AA13" s="2">
        <v>5.35</v>
      </c>
      <c r="AB13" s="2">
        <v>9.8000000000000004E-2</v>
      </c>
      <c r="AC13" s="5">
        <v>38370724.549999997</v>
      </c>
      <c r="AD13" s="2" t="s">
        <v>278</v>
      </c>
      <c r="AE13" s="1" t="s">
        <v>195</v>
      </c>
      <c r="AF13" s="2">
        <v>5.0599999999999996</v>
      </c>
      <c r="AG13" s="2">
        <v>0.14099999999999999</v>
      </c>
      <c r="AH13" s="5">
        <v>124279643.84</v>
      </c>
      <c r="AI13" s="2" t="s">
        <v>278</v>
      </c>
      <c r="AJ13" s="1" t="s">
        <v>216</v>
      </c>
      <c r="AK13" s="2">
        <v>4.79</v>
      </c>
      <c r="AL13" s="2">
        <v>0.182</v>
      </c>
      <c r="AM13" s="2">
        <v>371193190.04000002</v>
      </c>
      <c r="AN13" s="2" t="s">
        <v>278</v>
      </c>
      <c r="AO13" s="1" t="s">
        <v>237</v>
      </c>
      <c r="AP13" s="2">
        <v>4.51</v>
      </c>
      <c r="AQ13" s="2">
        <v>0.224</v>
      </c>
      <c r="AR13" s="2">
        <v>1154516116.9200001</v>
      </c>
      <c r="AS13" s="1" t="s">
        <v>278</v>
      </c>
      <c r="AT13" s="6">
        <v>10</v>
      </c>
    </row>
    <row r="14" spans="1:46" ht="26.25" x14ac:dyDescent="0.4">
      <c r="A14" s="1" t="s">
        <v>10</v>
      </c>
      <c r="B14" s="2">
        <v>6.6</v>
      </c>
      <c r="C14" s="2">
        <v>0</v>
      </c>
      <c r="D14" s="5">
        <v>168112.5</v>
      </c>
      <c r="E14" s="2" t="s">
        <v>275</v>
      </c>
      <c r="F14" s="1" t="s">
        <v>38</v>
      </c>
      <c r="G14" s="2">
        <v>6.41</v>
      </c>
      <c r="H14" s="2">
        <v>0</v>
      </c>
      <c r="I14" s="5">
        <v>522877.56</v>
      </c>
      <c r="J14" s="2" t="s">
        <v>276</v>
      </c>
      <c r="K14" s="1" t="s">
        <v>112</v>
      </c>
      <c r="L14" s="2">
        <v>6.17</v>
      </c>
      <c r="M14" s="2">
        <v>0</v>
      </c>
      <c r="N14" s="5">
        <v>1382929.37</v>
      </c>
      <c r="O14" s="2" t="s">
        <v>277</v>
      </c>
      <c r="P14" s="1" t="s">
        <v>133</v>
      </c>
      <c r="Q14" s="2">
        <v>5.96</v>
      </c>
      <c r="R14" s="2">
        <v>6.0000000000000001E-3</v>
      </c>
      <c r="S14" s="5">
        <v>3238918.35</v>
      </c>
      <c r="T14" s="2" t="s">
        <v>277</v>
      </c>
      <c r="U14" s="1" t="s">
        <v>154</v>
      </c>
      <c r="V14" s="2">
        <v>5.68</v>
      </c>
      <c r="W14" s="2">
        <v>4.8000000000000001E-2</v>
      </c>
      <c r="X14" s="5">
        <v>10073954.85</v>
      </c>
      <c r="Y14" s="2" t="s">
        <v>278</v>
      </c>
      <c r="Z14" s="1" t="s">
        <v>175</v>
      </c>
      <c r="AA14" s="2">
        <v>5.35</v>
      </c>
      <c r="AB14" s="2">
        <v>9.8000000000000004E-2</v>
      </c>
      <c r="AC14" s="5">
        <v>38370724.549999997</v>
      </c>
      <c r="AD14" s="2" t="s">
        <v>278</v>
      </c>
      <c r="AE14" s="1" t="s">
        <v>196</v>
      </c>
      <c r="AF14" s="2">
        <v>5.0599999999999996</v>
      </c>
      <c r="AG14" s="2">
        <v>0.14099999999999999</v>
      </c>
      <c r="AH14" s="5">
        <v>124279643.84</v>
      </c>
      <c r="AI14" s="2" t="s">
        <v>278</v>
      </c>
      <c r="AJ14" s="1" t="s">
        <v>217</v>
      </c>
      <c r="AK14" s="2">
        <v>4.79</v>
      </c>
      <c r="AL14" s="2">
        <v>0.182</v>
      </c>
      <c r="AM14" s="2">
        <v>371193190.04000002</v>
      </c>
      <c r="AN14" s="2" t="s">
        <v>278</v>
      </c>
      <c r="AO14" s="1" t="s">
        <v>238</v>
      </c>
      <c r="AP14" s="2">
        <v>4.51</v>
      </c>
      <c r="AQ14" s="2">
        <v>0.224</v>
      </c>
      <c r="AR14" s="2">
        <v>1154516116.9200001</v>
      </c>
      <c r="AS14" s="1" t="s">
        <v>278</v>
      </c>
      <c r="AT14" s="6">
        <v>11</v>
      </c>
    </row>
    <row r="15" spans="1:46" ht="26.25" x14ac:dyDescent="0.4">
      <c r="A15" s="1" t="s">
        <v>11</v>
      </c>
      <c r="B15" s="2">
        <v>6.6</v>
      </c>
      <c r="C15" s="2">
        <v>0</v>
      </c>
      <c r="D15" s="5">
        <v>168112.5</v>
      </c>
      <c r="E15" s="2" t="s">
        <v>275</v>
      </c>
      <c r="F15" s="1" t="s">
        <v>39</v>
      </c>
      <c r="G15" s="2">
        <v>6.41</v>
      </c>
      <c r="H15" s="2">
        <v>0</v>
      </c>
      <c r="I15" s="5">
        <v>522877.56</v>
      </c>
      <c r="J15" s="2" t="s">
        <v>276</v>
      </c>
      <c r="K15" s="1" t="s">
        <v>113</v>
      </c>
      <c r="L15" s="2">
        <v>6.17</v>
      </c>
      <c r="M15" s="2">
        <v>0</v>
      </c>
      <c r="N15" s="5">
        <v>1382929.37</v>
      </c>
      <c r="O15" s="2" t="s">
        <v>277</v>
      </c>
      <c r="P15" s="1" t="s">
        <v>134</v>
      </c>
      <c r="Q15" s="2">
        <v>5.96</v>
      </c>
      <c r="R15" s="2">
        <v>6.0000000000000001E-3</v>
      </c>
      <c r="S15" s="5">
        <v>3238918.35</v>
      </c>
      <c r="T15" s="2" t="s">
        <v>277</v>
      </c>
      <c r="U15" s="1" t="s">
        <v>155</v>
      </c>
      <c r="V15" s="2">
        <v>5.68</v>
      </c>
      <c r="W15" s="2">
        <v>4.8000000000000001E-2</v>
      </c>
      <c r="X15" s="5">
        <v>10073954.85</v>
      </c>
      <c r="Y15" s="2" t="s">
        <v>278</v>
      </c>
      <c r="Z15" s="1" t="s">
        <v>176</v>
      </c>
      <c r="AA15" s="2">
        <v>5.35</v>
      </c>
      <c r="AB15" s="2">
        <v>9.8000000000000004E-2</v>
      </c>
      <c r="AC15" s="5">
        <v>38370724.549999997</v>
      </c>
      <c r="AD15" s="2" t="s">
        <v>278</v>
      </c>
      <c r="AE15" s="1" t="s">
        <v>197</v>
      </c>
      <c r="AF15" s="2">
        <v>5.0599999999999996</v>
      </c>
      <c r="AG15" s="2">
        <v>0.14099999999999999</v>
      </c>
      <c r="AH15" s="5">
        <v>124279643.84</v>
      </c>
      <c r="AI15" s="2" t="s">
        <v>278</v>
      </c>
      <c r="AJ15" s="1" t="s">
        <v>218</v>
      </c>
      <c r="AK15" s="2">
        <v>4.79</v>
      </c>
      <c r="AL15" s="2">
        <v>0.182</v>
      </c>
      <c r="AM15" s="2">
        <v>371193190.04000002</v>
      </c>
      <c r="AN15" s="2" t="s">
        <v>278</v>
      </c>
      <c r="AO15" s="1" t="s">
        <v>239</v>
      </c>
      <c r="AP15" s="2">
        <v>4.51</v>
      </c>
      <c r="AQ15" s="2">
        <v>0.224</v>
      </c>
      <c r="AR15" s="2">
        <v>1154516116.9200001</v>
      </c>
      <c r="AS15" s="1" t="s">
        <v>278</v>
      </c>
      <c r="AT15" s="6">
        <v>12</v>
      </c>
    </row>
    <row r="16" spans="1:46" ht="26.25" x14ac:dyDescent="0.4">
      <c r="A16" s="1" t="s">
        <v>12</v>
      </c>
      <c r="B16" s="2">
        <v>6.59</v>
      </c>
      <c r="C16" s="2">
        <v>0</v>
      </c>
      <c r="D16" s="5">
        <v>182305.6</v>
      </c>
      <c r="E16" s="2" t="s">
        <v>275</v>
      </c>
      <c r="F16" s="1" t="s">
        <v>40</v>
      </c>
      <c r="G16" s="2">
        <v>6.39</v>
      </c>
      <c r="H16" s="2">
        <v>0</v>
      </c>
      <c r="I16" s="5">
        <v>567022.12</v>
      </c>
      <c r="J16" s="2" t="s">
        <v>276</v>
      </c>
      <c r="K16" s="1" t="s">
        <v>61</v>
      </c>
      <c r="L16" s="2">
        <v>6.21</v>
      </c>
      <c r="M16" s="2">
        <v>0</v>
      </c>
      <c r="N16" s="5">
        <v>1175980.17</v>
      </c>
      <c r="O16" s="2" t="s">
        <v>277</v>
      </c>
      <c r="P16" s="1" t="s">
        <v>67</v>
      </c>
      <c r="Q16" s="2">
        <v>5.99</v>
      </c>
      <c r="R16" s="2">
        <v>2E-3</v>
      </c>
      <c r="S16" s="5">
        <v>2868137.71</v>
      </c>
      <c r="T16" s="2" t="s">
        <v>277</v>
      </c>
      <c r="U16" s="1" t="s">
        <v>73</v>
      </c>
      <c r="V16" s="2">
        <v>5.75</v>
      </c>
      <c r="W16" s="2">
        <v>3.7999999999999999E-2</v>
      </c>
      <c r="X16" s="5">
        <v>7585775.75</v>
      </c>
      <c r="Y16" s="2" t="s">
        <v>277</v>
      </c>
      <c r="Z16" s="1" t="s">
        <v>80</v>
      </c>
      <c r="AA16" s="2">
        <v>5.37</v>
      </c>
      <c r="AB16" s="2">
        <v>9.5000000000000001E-2</v>
      </c>
      <c r="AC16" s="5">
        <v>35383435.68</v>
      </c>
      <c r="AD16" s="2" t="s">
        <v>278</v>
      </c>
      <c r="AE16" s="1" t="s">
        <v>87</v>
      </c>
      <c r="AF16" s="2">
        <v>5.08</v>
      </c>
      <c r="AG16" s="2">
        <v>0.13800000000000001</v>
      </c>
      <c r="AH16" s="5">
        <v>114604059.11</v>
      </c>
      <c r="AI16" s="2" t="s">
        <v>278</v>
      </c>
      <c r="AJ16" s="1" t="s">
        <v>94</v>
      </c>
      <c r="AK16" s="2">
        <v>4.78</v>
      </c>
      <c r="AL16" s="2">
        <v>0.183</v>
      </c>
      <c r="AM16" s="2">
        <v>386544946.60000002</v>
      </c>
      <c r="AN16" s="2" t="s">
        <v>278</v>
      </c>
      <c r="AO16" s="1" t="s">
        <v>101</v>
      </c>
      <c r="AP16" s="2">
        <v>4.5199999999999996</v>
      </c>
      <c r="AQ16" s="2">
        <v>0.222</v>
      </c>
      <c r="AR16" s="2">
        <v>1108664138.98</v>
      </c>
      <c r="AS16" s="1" t="s">
        <v>278</v>
      </c>
      <c r="AT16" s="6">
        <v>13</v>
      </c>
    </row>
    <row r="17" spans="1:46" ht="26.25" x14ac:dyDescent="0.4">
      <c r="A17" s="1" t="s">
        <v>13</v>
      </c>
      <c r="B17" s="2">
        <v>6.59</v>
      </c>
      <c r="C17" s="2">
        <v>0</v>
      </c>
      <c r="D17" s="5">
        <v>182305.6</v>
      </c>
      <c r="E17" s="2" t="s">
        <v>275</v>
      </c>
      <c r="F17" s="1" t="s">
        <v>41</v>
      </c>
      <c r="G17" s="2">
        <v>6.39</v>
      </c>
      <c r="H17" s="2">
        <v>0</v>
      </c>
      <c r="I17" s="5">
        <v>567022.12</v>
      </c>
      <c r="J17" s="2" t="s">
        <v>276</v>
      </c>
      <c r="K17" s="1" t="s">
        <v>114</v>
      </c>
      <c r="L17" s="2">
        <v>6.21</v>
      </c>
      <c r="M17" s="2">
        <v>0</v>
      </c>
      <c r="N17" s="5">
        <v>1175980.17</v>
      </c>
      <c r="O17" s="2" t="s">
        <v>277</v>
      </c>
      <c r="P17" s="1" t="s">
        <v>135</v>
      </c>
      <c r="Q17" s="2">
        <v>5.99</v>
      </c>
      <c r="R17" s="2">
        <v>2E-3</v>
      </c>
      <c r="S17" s="5">
        <v>2868137.71</v>
      </c>
      <c r="T17" s="2" t="s">
        <v>277</v>
      </c>
      <c r="U17" s="1" t="s">
        <v>156</v>
      </c>
      <c r="V17" s="2">
        <v>5.75</v>
      </c>
      <c r="W17" s="2">
        <v>3.7999999999999999E-2</v>
      </c>
      <c r="X17" s="5">
        <v>7585775.75</v>
      </c>
      <c r="Y17" s="2" t="s">
        <v>277</v>
      </c>
      <c r="Z17" s="1" t="s">
        <v>177</v>
      </c>
      <c r="AA17" s="2">
        <v>5.37</v>
      </c>
      <c r="AB17" s="2">
        <v>9.5000000000000001E-2</v>
      </c>
      <c r="AC17" s="5">
        <v>35383435.68</v>
      </c>
      <c r="AD17" s="2" t="s">
        <v>278</v>
      </c>
      <c r="AE17" s="1" t="s">
        <v>198</v>
      </c>
      <c r="AF17" s="2">
        <v>5.08</v>
      </c>
      <c r="AG17" s="2">
        <v>0.13800000000000001</v>
      </c>
      <c r="AH17" s="5">
        <v>114604059.11</v>
      </c>
      <c r="AI17" s="2" t="s">
        <v>278</v>
      </c>
      <c r="AJ17" s="1" t="s">
        <v>219</v>
      </c>
      <c r="AK17" s="2">
        <v>4.78</v>
      </c>
      <c r="AL17" s="2">
        <v>0.183</v>
      </c>
      <c r="AM17" s="2">
        <v>386544946.60000002</v>
      </c>
      <c r="AN17" s="2" t="s">
        <v>278</v>
      </c>
      <c r="AO17" s="1" t="s">
        <v>240</v>
      </c>
      <c r="AP17" s="2">
        <v>4.5199999999999996</v>
      </c>
      <c r="AQ17" s="2">
        <v>0.222</v>
      </c>
      <c r="AR17" s="2">
        <v>1108664138.98</v>
      </c>
      <c r="AS17" s="1" t="s">
        <v>278</v>
      </c>
      <c r="AT17" s="6">
        <v>14</v>
      </c>
    </row>
    <row r="18" spans="1:46" ht="26.25" x14ac:dyDescent="0.4">
      <c r="A18" s="1" t="s">
        <v>14</v>
      </c>
      <c r="B18" s="2">
        <v>6.59</v>
      </c>
      <c r="C18" s="2">
        <v>0</v>
      </c>
      <c r="D18" s="5">
        <v>182305.6</v>
      </c>
      <c r="E18" s="2" t="s">
        <v>275</v>
      </c>
      <c r="F18" s="1" t="s">
        <v>42</v>
      </c>
      <c r="G18" s="2">
        <v>6.39</v>
      </c>
      <c r="H18" s="2">
        <v>0</v>
      </c>
      <c r="I18" s="5">
        <v>567022.12</v>
      </c>
      <c r="J18" s="2" t="s">
        <v>276</v>
      </c>
      <c r="K18" s="1" t="s">
        <v>115</v>
      </c>
      <c r="L18" s="2">
        <v>6.21</v>
      </c>
      <c r="M18" s="2">
        <v>0</v>
      </c>
      <c r="N18" s="5">
        <v>1175980.17</v>
      </c>
      <c r="O18" s="2" t="s">
        <v>277</v>
      </c>
      <c r="P18" s="1" t="s">
        <v>136</v>
      </c>
      <c r="Q18" s="2">
        <v>5.99</v>
      </c>
      <c r="R18" s="2">
        <v>2E-3</v>
      </c>
      <c r="S18" s="5">
        <v>2868137.71</v>
      </c>
      <c r="T18" s="2" t="s">
        <v>277</v>
      </c>
      <c r="U18" s="1" t="s">
        <v>157</v>
      </c>
      <c r="V18" s="2">
        <v>5.75</v>
      </c>
      <c r="W18" s="2">
        <v>3.7999999999999999E-2</v>
      </c>
      <c r="X18" s="5">
        <v>7585775.75</v>
      </c>
      <c r="Y18" s="2" t="s">
        <v>277</v>
      </c>
      <c r="Z18" s="1" t="s">
        <v>178</v>
      </c>
      <c r="AA18" s="2">
        <v>5.37</v>
      </c>
      <c r="AB18" s="2">
        <v>9.5000000000000001E-2</v>
      </c>
      <c r="AC18" s="5">
        <v>35383435.68</v>
      </c>
      <c r="AD18" s="2" t="s">
        <v>278</v>
      </c>
      <c r="AE18" s="1" t="s">
        <v>199</v>
      </c>
      <c r="AF18" s="2">
        <v>5.08</v>
      </c>
      <c r="AG18" s="2">
        <v>0.13800000000000001</v>
      </c>
      <c r="AH18" s="5">
        <v>114604059.11</v>
      </c>
      <c r="AI18" s="2" t="s">
        <v>278</v>
      </c>
      <c r="AJ18" s="1" t="s">
        <v>220</v>
      </c>
      <c r="AK18" s="2">
        <v>4.78</v>
      </c>
      <c r="AL18" s="2">
        <v>0.183</v>
      </c>
      <c r="AM18" s="2">
        <v>386544946.60000002</v>
      </c>
      <c r="AN18" s="2" t="s">
        <v>278</v>
      </c>
      <c r="AO18" s="1" t="s">
        <v>241</v>
      </c>
      <c r="AP18" s="2">
        <v>4.5199999999999996</v>
      </c>
      <c r="AQ18" s="2">
        <v>0.222</v>
      </c>
      <c r="AR18" s="2">
        <v>1108664138.98</v>
      </c>
      <c r="AS18" s="1" t="s">
        <v>278</v>
      </c>
      <c r="AT18" s="6">
        <v>15</v>
      </c>
    </row>
    <row r="19" spans="1:46" ht="26.25" x14ac:dyDescent="0.4">
      <c r="A19" s="1" t="s">
        <v>15</v>
      </c>
      <c r="B19" s="2">
        <v>6.59</v>
      </c>
      <c r="C19" s="2">
        <v>0</v>
      </c>
      <c r="D19" s="5">
        <v>182305.6</v>
      </c>
      <c r="E19" s="2" t="s">
        <v>275</v>
      </c>
      <c r="F19" s="1" t="s">
        <v>43</v>
      </c>
      <c r="G19" s="2">
        <v>6.39</v>
      </c>
      <c r="H19" s="2">
        <v>0</v>
      </c>
      <c r="I19" s="5">
        <v>567022.12</v>
      </c>
      <c r="J19" s="2" t="s">
        <v>276</v>
      </c>
      <c r="K19" s="1" t="s">
        <v>116</v>
      </c>
      <c r="L19" s="2">
        <v>6.21</v>
      </c>
      <c r="M19" s="2">
        <v>0</v>
      </c>
      <c r="N19" s="5">
        <v>1175980.17</v>
      </c>
      <c r="O19" s="2" t="s">
        <v>277</v>
      </c>
      <c r="P19" s="1" t="s">
        <v>137</v>
      </c>
      <c r="Q19" s="2">
        <v>5.99</v>
      </c>
      <c r="R19" s="2">
        <v>2E-3</v>
      </c>
      <c r="S19" s="5">
        <v>2868137.71</v>
      </c>
      <c r="T19" s="2" t="s">
        <v>277</v>
      </c>
      <c r="U19" s="1" t="s">
        <v>158</v>
      </c>
      <c r="V19" s="2">
        <v>5.75</v>
      </c>
      <c r="W19" s="2">
        <v>3.7999999999999999E-2</v>
      </c>
      <c r="X19" s="5">
        <v>7585775.75</v>
      </c>
      <c r="Y19" s="2" t="s">
        <v>277</v>
      </c>
      <c r="Z19" s="1" t="s">
        <v>179</v>
      </c>
      <c r="AA19" s="2">
        <v>5.37</v>
      </c>
      <c r="AB19" s="2">
        <v>9.5000000000000001E-2</v>
      </c>
      <c r="AC19" s="5">
        <v>35383435.68</v>
      </c>
      <c r="AD19" s="2" t="s">
        <v>278</v>
      </c>
      <c r="AE19" s="1" t="s">
        <v>200</v>
      </c>
      <c r="AF19" s="2">
        <v>5.08</v>
      </c>
      <c r="AG19" s="2">
        <v>0.13800000000000001</v>
      </c>
      <c r="AH19" s="5">
        <v>114604059.11</v>
      </c>
      <c r="AI19" s="2" t="s">
        <v>278</v>
      </c>
      <c r="AJ19" s="1" t="s">
        <v>221</v>
      </c>
      <c r="AK19" s="2">
        <v>4.78</v>
      </c>
      <c r="AL19" s="2">
        <v>0.183</v>
      </c>
      <c r="AM19" s="2">
        <v>386544946.60000002</v>
      </c>
      <c r="AN19" s="2" t="s">
        <v>278</v>
      </c>
      <c r="AO19" s="1" t="s">
        <v>242</v>
      </c>
      <c r="AP19" s="2">
        <v>4.5199999999999996</v>
      </c>
      <c r="AQ19" s="2">
        <v>0.222</v>
      </c>
      <c r="AR19" s="2">
        <v>1108664138.98</v>
      </c>
      <c r="AS19" s="1" t="s">
        <v>278</v>
      </c>
      <c r="AT19" s="6">
        <v>16</v>
      </c>
    </row>
    <row r="20" spans="1:46" ht="26.25" x14ac:dyDescent="0.4">
      <c r="A20" s="1" t="s">
        <v>16</v>
      </c>
      <c r="B20" s="2">
        <v>6.53</v>
      </c>
      <c r="C20" s="2">
        <v>0</v>
      </c>
      <c r="D20" s="5">
        <v>205873.29</v>
      </c>
      <c r="E20" s="2" t="s">
        <v>275</v>
      </c>
      <c r="F20" s="1" t="s">
        <v>44</v>
      </c>
      <c r="G20" s="2">
        <v>6.39</v>
      </c>
      <c r="H20" s="2">
        <v>0</v>
      </c>
      <c r="I20" s="5">
        <v>617022.12</v>
      </c>
      <c r="J20" s="2" t="s">
        <v>276</v>
      </c>
      <c r="K20" s="1" t="s">
        <v>62</v>
      </c>
      <c r="L20" s="2">
        <v>6.18</v>
      </c>
      <c r="M20" s="2">
        <v>0</v>
      </c>
      <c r="N20" s="5">
        <v>1328005.8899999999</v>
      </c>
      <c r="O20" s="2" t="s">
        <v>277</v>
      </c>
      <c r="P20" s="1" t="s">
        <v>68</v>
      </c>
      <c r="Q20" s="2">
        <v>6</v>
      </c>
      <c r="R20" s="2">
        <v>0</v>
      </c>
      <c r="S20" s="5">
        <v>2754228.7</v>
      </c>
      <c r="T20" s="2" t="s">
        <v>277</v>
      </c>
      <c r="U20" s="1" t="s">
        <v>74</v>
      </c>
      <c r="V20" s="2">
        <v>5.7</v>
      </c>
      <c r="W20" s="2">
        <v>4.4999999999999998E-2</v>
      </c>
      <c r="X20" s="5">
        <v>9289663.8699999992</v>
      </c>
      <c r="Y20" s="2" t="s">
        <v>277</v>
      </c>
      <c r="Z20" s="1" t="s">
        <v>81</v>
      </c>
      <c r="AA20" s="2">
        <v>5.4</v>
      </c>
      <c r="AB20" s="2">
        <v>0.09</v>
      </c>
      <c r="AC20" s="5">
        <v>31332857.239999998</v>
      </c>
      <c r="AD20" s="2" t="s">
        <v>278</v>
      </c>
      <c r="AE20" s="1" t="s">
        <v>88</v>
      </c>
      <c r="AF20" s="2">
        <v>5.09</v>
      </c>
      <c r="AG20" s="2">
        <v>0.13700000000000001</v>
      </c>
      <c r="AH20" s="5">
        <v>110052522.14</v>
      </c>
      <c r="AI20" s="2" t="s">
        <v>278</v>
      </c>
      <c r="AJ20" s="1" t="s">
        <v>95</v>
      </c>
      <c r="AK20" s="2">
        <v>4.82</v>
      </c>
      <c r="AL20" s="2">
        <v>0.17699999999999999</v>
      </c>
      <c r="AM20" s="2">
        <v>328700223.97000003</v>
      </c>
      <c r="AN20" s="2" t="s">
        <v>278</v>
      </c>
      <c r="AO20" s="1" t="s">
        <v>102</v>
      </c>
      <c r="AP20" s="2">
        <v>4.49</v>
      </c>
      <c r="AQ20" s="2">
        <v>0.22700000000000001</v>
      </c>
      <c r="AR20" s="2">
        <v>1251987520.6199999</v>
      </c>
      <c r="AS20" s="1" t="s">
        <v>278</v>
      </c>
      <c r="AT20" s="6">
        <v>17</v>
      </c>
    </row>
    <row r="21" spans="1:46" ht="26.25" x14ac:dyDescent="0.4">
      <c r="A21" s="1" t="s">
        <v>17</v>
      </c>
      <c r="B21" s="2">
        <v>6.53</v>
      </c>
      <c r="C21" s="2">
        <v>0</v>
      </c>
      <c r="D21" s="5">
        <v>205873.29</v>
      </c>
      <c r="E21" s="2" t="s">
        <v>275</v>
      </c>
      <c r="F21" s="1" t="s">
        <v>45</v>
      </c>
      <c r="G21" s="2">
        <v>6.39</v>
      </c>
      <c r="H21" s="2">
        <v>0</v>
      </c>
      <c r="I21" s="5">
        <v>617022.12</v>
      </c>
      <c r="J21" s="2" t="s">
        <v>276</v>
      </c>
      <c r="K21" s="1" t="s">
        <v>117</v>
      </c>
      <c r="L21" s="2">
        <v>6.18</v>
      </c>
      <c r="M21" s="2">
        <v>0</v>
      </c>
      <c r="N21" s="5">
        <v>1328005.8899999999</v>
      </c>
      <c r="O21" s="2" t="s">
        <v>277</v>
      </c>
      <c r="P21" s="1" t="s">
        <v>138</v>
      </c>
      <c r="Q21" s="2">
        <v>6</v>
      </c>
      <c r="R21" s="2">
        <v>0</v>
      </c>
      <c r="S21" s="5">
        <v>2754228.7</v>
      </c>
      <c r="T21" s="2" t="s">
        <v>277</v>
      </c>
      <c r="U21" s="1" t="s">
        <v>159</v>
      </c>
      <c r="V21" s="2">
        <v>5.7</v>
      </c>
      <c r="W21" s="2">
        <v>4.4999999999999998E-2</v>
      </c>
      <c r="X21" s="5">
        <v>9289663.8699999992</v>
      </c>
      <c r="Y21" s="2" t="s">
        <v>277</v>
      </c>
      <c r="Z21" s="1" t="s">
        <v>180</v>
      </c>
      <c r="AA21" s="2">
        <v>5.4</v>
      </c>
      <c r="AB21" s="2">
        <v>0.09</v>
      </c>
      <c r="AC21" s="5">
        <v>31332857.239999998</v>
      </c>
      <c r="AD21" s="2" t="s">
        <v>278</v>
      </c>
      <c r="AE21" s="1" t="s">
        <v>201</v>
      </c>
      <c r="AF21" s="2">
        <v>5.09</v>
      </c>
      <c r="AG21" s="2">
        <v>0.13700000000000001</v>
      </c>
      <c r="AH21" s="5">
        <v>110052522.14</v>
      </c>
      <c r="AI21" s="2" t="s">
        <v>278</v>
      </c>
      <c r="AJ21" s="1" t="s">
        <v>222</v>
      </c>
      <c r="AK21" s="2">
        <v>4.82</v>
      </c>
      <c r="AL21" s="2">
        <v>0.17699999999999999</v>
      </c>
      <c r="AM21" s="2">
        <v>328700223.97000003</v>
      </c>
      <c r="AN21" s="2" t="s">
        <v>278</v>
      </c>
      <c r="AO21" s="1" t="s">
        <v>243</v>
      </c>
      <c r="AP21" s="2">
        <v>4.49</v>
      </c>
      <c r="AQ21" s="2">
        <v>0.22700000000000001</v>
      </c>
      <c r="AR21" s="2">
        <v>1251987520.6199999</v>
      </c>
      <c r="AS21" s="1" t="s">
        <v>278</v>
      </c>
      <c r="AT21" s="6">
        <v>18</v>
      </c>
    </row>
    <row r="22" spans="1:46" ht="26.25" x14ac:dyDescent="0.4">
      <c r="A22" s="1" t="s">
        <v>18</v>
      </c>
      <c r="B22" s="2">
        <v>6.53</v>
      </c>
      <c r="C22" s="2">
        <v>0</v>
      </c>
      <c r="D22" s="5">
        <v>205873.29</v>
      </c>
      <c r="E22" s="2" t="s">
        <v>275</v>
      </c>
      <c r="F22" s="1" t="s">
        <v>46</v>
      </c>
      <c r="G22" s="2">
        <v>6.39</v>
      </c>
      <c r="H22" s="2">
        <v>0</v>
      </c>
      <c r="I22" s="5">
        <v>617022.12</v>
      </c>
      <c r="J22" s="2" t="s">
        <v>276</v>
      </c>
      <c r="K22" s="1" t="s">
        <v>118</v>
      </c>
      <c r="L22" s="2">
        <v>6.18</v>
      </c>
      <c r="M22" s="2">
        <v>0</v>
      </c>
      <c r="N22" s="5">
        <v>1328005.8899999999</v>
      </c>
      <c r="O22" s="2" t="s">
        <v>277</v>
      </c>
      <c r="P22" s="1" t="s">
        <v>139</v>
      </c>
      <c r="Q22" s="2">
        <v>6</v>
      </c>
      <c r="R22" s="2">
        <v>0</v>
      </c>
      <c r="S22" s="5">
        <v>2754228.7</v>
      </c>
      <c r="T22" s="2" t="s">
        <v>277</v>
      </c>
      <c r="U22" s="1" t="s">
        <v>160</v>
      </c>
      <c r="V22" s="2">
        <v>5.7</v>
      </c>
      <c r="W22" s="2">
        <v>4.4999999999999998E-2</v>
      </c>
      <c r="X22" s="5">
        <v>9289663.8699999992</v>
      </c>
      <c r="Y22" s="2" t="s">
        <v>277</v>
      </c>
      <c r="Z22" s="1" t="s">
        <v>181</v>
      </c>
      <c r="AA22" s="2">
        <v>5.4</v>
      </c>
      <c r="AB22" s="2">
        <v>0.09</v>
      </c>
      <c r="AC22" s="5">
        <v>31332857.239999998</v>
      </c>
      <c r="AD22" s="2" t="s">
        <v>278</v>
      </c>
      <c r="AE22" s="1" t="s">
        <v>202</v>
      </c>
      <c r="AF22" s="2">
        <v>5.09</v>
      </c>
      <c r="AG22" s="2">
        <v>0.13700000000000001</v>
      </c>
      <c r="AH22" s="5">
        <v>110052522.14</v>
      </c>
      <c r="AI22" s="2" t="s">
        <v>278</v>
      </c>
      <c r="AJ22" s="1" t="s">
        <v>223</v>
      </c>
      <c r="AK22" s="2">
        <v>4.82</v>
      </c>
      <c r="AL22" s="2">
        <v>0.17699999999999999</v>
      </c>
      <c r="AM22" s="2">
        <v>328700223.97000003</v>
      </c>
      <c r="AN22" s="2" t="s">
        <v>278</v>
      </c>
      <c r="AO22" s="1" t="s">
        <v>244</v>
      </c>
      <c r="AP22" s="2">
        <v>4.49</v>
      </c>
      <c r="AQ22" s="2">
        <v>0.22700000000000001</v>
      </c>
      <c r="AR22" s="2">
        <v>1251987520.6199999</v>
      </c>
      <c r="AS22" s="1" t="s">
        <v>278</v>
      </c>
      <c r="AT22" s="6">
        <v>19</v>
      </c>
    </row>
    <row r="23" spans="1:46" ht="26.25" x14ac:dyDescent="0.4">
      <c r="A23" s="1" t="s">
        <v>19</v>
      </c>
      <c r="B23" s="2">
        <v>6.53</v>
      </c>
      <c r="C23" s="2">
        <v>0</v>
      </c>
      <c r="D23" s="5">
        <v>205873.29</v>
      </c>
      <c r="E23" s="2" t="s">
        <v>275</v>
      </c>
      <c r="F23" s="1" t="s">
        <v>47</v>
      </c>
      <c r="G23" s="2">
        <v>6.39</v>
      </c>
      <c r="H23" s="2">
        <v>0</v>
      </c>
      <c r="I23" s="5">
        <v>617022.12</v>
      </c>
      <c r="J23" s="2" t="s">
        <v>276</v>
      </c>
      <c r="K23" s="1" t="s">
        <v>119</v>
      </c>
      <c r="L23" s="2">
        <v>6.18</v>
      </c>
      <c r="M23" s="2">
        <v>0</v>
      </c>
      <c r="N23" s="5">
        <v>1328005.8899999999</v>
      </c>
      <c r="O23" s="2" t="s">
        <v>277</v>
      </c>
      <c r="P23" s="1" t="s">
        <v>140</v>
      </c>
      <c r="Q23" s="2">
        <v>6</v>
      </c>
      <c r="R23" s="2">
        <v>0</v>
      </c>
      <c r="S23" s="5">
        <v>2754228.7</v>
      </c>
      <c r="T23" s="2" t="s">
        <v>277</v>
      </c>
      <c r="U23" s="1" t="s">
        <v>161</v>
      </c>
      <c r="V23" s="2">
        <v>5.7</v>
      </c>
      <c r="W23" s="2">
        <v>4.4999999999999998E-2</v>
      </c>
      <c r="X23" s="5">
        <v>9289663.8699999992</v>
      </c>
      <c r="Y23" s="2" t="s">
        <v>277</v>
      </c>
      <c r="Z23" s="1" t="s">
        <v>182</v>
      </c>
      <c r="AA23" s="2">
        <v>5.4</v>
      </c>
      <c r="AB23" s="2">
        <v>0.09</v>
      </c>
      <c r="AC23" s="5">
        <v>31332857.239999998</v>
      </c>
      <c r="AD23" s="2" t="s">
        <v>278</v>
      </c>
      <c r="AE23" s="1" t="s">
        <v>203</v>
      </c>
      <c r="AF23" s="2">
        <v>5.09</v>
      </c>
      <c r="AG23" s="2">
        <v>0.13700000000000001</v>
      </c>
      <c r="AH23" s="5">
        <v>110052522.14</v>
      </c>
      <c r="AI23" s="2" t="s">
        <v>278</v>
      </c>
      <c r="AJ23" s="1" t="s">
        <v>224</v>
      </c>
      <c r="AK23" s="2">
        <v>4.82</v>
      </c>
      <c r="AL23" s="2">
        <v>0.17699999999999999</v>
      </c>
      <c r="AM23" s="2">
        <v>328700223.97000003</v>
      </c>
      <c r="AN23" s="2" t="s">
        <v>278</v>
      </c>
      <c r="AO23" s="1" t="s">
        <v>245</v>
      </c>
      <c r="AP23" s="2">
        <v>4.49</v>
      </c>
      <c r="AQ23" s="2">
        <v>0.22700000000000001</v>
      </c>
      <c r="AR23" s="2">
        <v>1251987520.6199999</v>
      </c>
      <c r="AS23" s="1" t="s">
        <v>278</v>
      </c>
      <c r="AT23" s="6">
        <v>20</v>
      </c>
    </row>
    <row r="24" spans="1:46" ht="26.25" x14ac:dyDescent="0.4">
      <c r="A24" s="1" t="s">
        <v>20</v>
      </c>
      <c r="B24" s="2">
        <v>6.57</v>
      </c>
      <c r="C24" s="2">
        <v>0</v>
      </c>
      <c r="D24" s="5">
        <v>197696.96</v>
      </c>
      <c r="E24" s="2" t="s">
        <v>275</v>
      </c>
      <c r="F24" s="1" t="s">
        <v>48</v>
      </c>
      <c r="G24" s="2">
        <v>6.41</v>
      </c>
      <c r="H24" s="2">
        <v>0</v>
      </c>
      <c r="I24" s="5">
        <v>502877.56</v>
      </c>
      <c r="J24" s="2" t="s">
        <v>276</v>
      </c>
      <c r="K24" s="1" t="s">
        <v>63</v>
      </c>
      <c r="L24" s="2">
        <v>6.16</v>
      </c>
      <c r="M24" s="2">
        <v>0</v>
      </c>
      <c r="N24" s="5">
        <v>1440124.37</v>
      </c>
      <c r="O24" s="2" t="s">
        <v>277</v>
      </c>
      <c r="P24" s="1" t="s">
        <v>69</v>
      </c>
      <c r="Q24" s="2">
        <v>5.97</v>
      </c>
      <c r="R24" s="2">
        <v>5.0000000000000001E-3</v>
      </c>
      <c r="S24" s="5">
        <v>3110283.67</v>
      </c>
      <c r="T24" s="2" t="s">
        <v>277</v>
      </c>
      <c r="U24" s="1" t="s">
        <v>75</v>
      </c>
      <c r="V24" s="2">
        <v>5.67</v>
      </c>
      <c r="W24" s="2">
        <v>0.05</v>
      </c>
      <c r="X24" s="5">
        <v>10490592.08</v>
      </c>
      <c r="Y24" s="2" t="s">
        <v>278</v>
      </c>
      <c r="Z24" s="1" t="s">
        <v>82</v>
      </c>
      <c r="AA24" s="2">
        <v>5.42</v>
      </c>
      <c r="AB24" s="2">
        <v>8.6999999999999994E-2</v>
      </c>
      <c r="AC24" s="5">
        <v>28893489.82</v>
      </c>
      <c r="AD24" s="2" t="s">
        <v>278</v>
      </c>
      <c r="AE24" s="1" t="s">
        <v>89</v>
      </c>
      <c r="AF24" s="2">
        <v>5.13</v>
      </c>
      <c r="AG24" s="2">
        <v>0.13100000000000001</v>
      </c>
      <c r="AH24" s="5">
        <v>93583654.359999999</v>
      </c>
      <c r="AI24" s="2" t="s">
        <v>278</v>
      </c>
      <c r="AJ24" s="1" t="s">
        <v>96</v>
      </c>
      <c r="AK24" s="2">
        <v>4.83</v>
      </c>
      <c r="AL24" s="2">
        <v>0.17599999999999999</v>
      </c>
      <c r="AM24" s="2">
        <v>315645789.13</v>
      </c>
      <c r="AN24" s="2" t="s">
        <v>278</v>
      </c>
      <c r="AO24" s="1" t="s">
        <v>103</v>
      </c>
      <c r="AP24" s="2">
        <v>4.5</v>
      </c>
      <c r="AQ24" s="2">
        <v>0.22500000000000001</v>
      </c>
      <c r="AR24" s="2">
        <v>1202264434.6199999</v>
      </c>
      <c r="AS24" s="1" t="s">
        <v>278</v>
      </c>
      <c r="AT24" s="6">
        <v>21</v>
      </c>
    </row>
    <row r="25" spans="1:46" ht="26.25" x14ac:dyDescent="0.4">
      <c r="A25" s="1" t="s">
        <v>21</v>
      </c>
      <c r="B25" s="2">
        <v>6.57</v>
      </c>
      <c r="C25" s="2">
        <v>0</v>
      </c>
      <c r="D25" s="5">
        <v>197696.96</v>
      </c>
      <c r="E25" s="2" t="s">
        <v>275</v>
      </c>
      <c r="F25" s="1" t="s">
        <v>49</v>
      </c>
      <c r="G25" s="2">
        <v>6.41</v>
      </c>
      <c r="H25" s="2">
        <v>0</v>
      </c>
      <c r="I25" s="5">
        <v>502877.56</v>
      </c>
      <c r="J25" s="2" t="s">
        <v>276</v>
      </c>
      <c r="K25" s="1" t="s">
        <v>120</v>
      </c>
      <c r="L25" s="2">
        <v>6.16</v>
      </c>
      <c r="M25" s="2">
        <v>0</v>
      </c>
      <c r="N25" s="5">
        <v>1440124.37</v>
      </c>
      <c r="O25" s="2" t="s">
        <v>277</v>
      </c>
      <c r="P25" s="1" t="s">
        <v>141</v>
      </c>
      <c r="Q25" s="2">
        <v>5.97</v>
      </c>
      <c r="R25" s="2">
        <v>5.0000000000000001E-3</v>
      </c>
      <c r="S25" s="5">
        <v>3110283.67</v>
      </c>
      <c r="T25" s="2" t="s">
        <v>277</v>
      </c>
      <c r="U25" s="1" t="s">
        <v>162</v>
      </c>
      <c r="V25" s="2">
        <v>5.67</v>
      </c>
      <c r="W25" s="2">
        <v>0.05</v>
      </c>
      <c r="X25" s="5">
        <v>10490592.08</v>
      </c>
      <c r="Y25" s="2" t="s">
        <v>278</v>
      </c>
      <c r="Z25" s="1" t="s">
        <v>183</v>
      </c>
      <c r="AA25" s="2">
        <v>5.42</v>
      </c>
      <c r="AB25" s="2">
        <v>8.6999999999999994E-2</v>
      </c>
      <c r="AC25" s="5">
        <v>28893489.82</v>
      </c>
      <c r="AD25" s="2" t="s">
        <v>278</v>
      </c>
      <c r="AE25" s="1" t="s">
        <v>204</v>
      </c>
      <c r="AF25" s="2">
        <v>5.13</v>
      </c>
      <c r="AG25" s="2">
        <v>0.13100000000000001</v>
      </c>
      <c r="AH25" s="5">
        <v>93583654.359999999</v>
      </c>
      <c r="AI25" s="2" t="s">
        <v>278</v>
      </c>
      <c r="AJ25" s="1" t="s">
        <v>225</v>
      </c>
      <c r="AK25" s="2">
        <v>4.83</v>
      </c>
      <c r="AL25" s="2">
        <v>0.17599999999999999</v>
      </c>
      <c r="AM25" s="2">
        <v>315645789.13</v>
      </c>
      <c r="AN25" s="2" t="s">
        <v>278</v>
      </c>
      <c r="AO25" s="1" t="s">
        <v>246</v>
      </c>
      <c r="AP25" s="2">
        <v>4.5</v>
      </c>
      <c r="AQ25" s="2">
        <v>0.22500000000000001</v>
      </c>
      <c r="AR25" s="2">
        <v>1202264434.6199999</v>
      </c>
      <c r="AS25" s="1" t="s">
        <v>278</v>
      </c>
      <c r="AT25" s="6">
        <v>22</v>
      </c>
    </row>
    <row r="26" spans="1:46" ht="26.25" x14ac:dyDescent="0.4">
      <c r="A26" s="1" t="s">
        <v>22</v>
      </c>
      <c r="B26" s="2">
        <v>6.57</v>
      </c>
      <c r="C26" s="2">
        <v>0</v>
      </c>
      <c r="D26" s="5">
        <v>197696.96</v>
      </c>
      <c r="E26" s="2" t="s">
        <v>275</v>
      </c>
      <c r="F26" s="1" t="s">
        <v>50</v>
      </c>
      <c r="G26" s="2">
        <v>6.41</v>
      </c>
      <c r="H26" s="2">
        <v>0</v>
      </c>
      <c r="I26" s="5">
        <v>502877.56</v>
      </c>
      <c r="J26" s="2" t="s">
        <v>276</v>
      </c>
      <c r="K26" s="1" t="s">
        <v>121</v>
      </c>
      <c r="L26" s="2">
        <v>6.16</v>
      </c>
      <c r="M26" s="2">
        <v>0</v>
      </c>
      <c r="N26" s="5">
        <v>1440124.37</v>
      </c>
      <c r="O26" s="2" t="s">
        <v>277</v>
      </c>
      <c r="P26" s="1" t="s">
        <v>142</v>
      </c>
      <c r="Q26" s="2">
        <v>5.97</v>
      </c>
      <c r="R26" s="2">
        <v>5.0000000000000001E-3</v>
      </c>
      <c r="S26" s="5">
        <v>3110283.67</v>
      </c>
      <c r="T26" s="2" t="s">
        <v>277</v>
      </c>
      <c r="U26" s="1" t="s">
        <v>163</v>
      </c>
      <c r="V26" s="2">
        <v>5.67</v>
      </c>
      <c r="W26" s="2">
        <v>0.05</v>
      </c>
      <c r="X26" s="5">
        <v>10490592.08</v>
      </c>
      <c r="Y26" s="2" t="s">
        <v>278</v>
      </c>
      <c r="Z26" s="1" t="s">
        <v>184</v>
      </c>
      <c r="AA26" s="2">
        <v>5.42</v>
      </c>
      <c r="AB26" s="2">
        <v>8.6999999999999994E-2</v>
      </c>
      <c r="AC26" s="5">
        <v>28893489.82</v>
      </c>
      <c r="AD26" s="2" t="s">
        <v>278</v>
      </c>
      <c r="AE26" s="1" t="s">
        <v>205</v>
      </c>
      <c r="AF26" s="2">
        <v>5.13</v>
      </c>
      <c r="AG26" s="2">
        <v>0.13100000000000001</v>
      </c>
      <c r="AH26" s="5">
        <v>93583654.359999999</v>
      </c>
      <c r="AI26" s="2" t="s">
        <v>278</v>
      </c>
      <c r="AJ26" s="1" t="s">
        <v>226</v>
      </c>
      <c r="AK26" s="2">
        <v>4.83</v>
      </c>
      <c r="AL26" s="2">
        <v>0.17599999999999999</v>
      </c>
      <c r="AM26" s="2">
        <v>315645789.13</v>
      </c>
      <c r="AN26" s="2" t="s">
        <v>278</v>
      </c>
      <c r="AO26" s="1" t="s">
        <v>247</v>
      </c>
      <c r="AP26" s="2">
        <v>4.5</v>
      </c>
      <c r="AQ26" s="2">
        <v>0.22500000000000001</v>
      </c>
      <c r="AR26" s="2">
        <v>1202264434.6199999</v>
      </c>
      <c r="AS26" s="1" t="s">
        <v>278</v>
      </c>
      <c r="AT26" s="6">
        <v>23</v>
      </c>
    </row>
    <row r="27" spans="1:46" ht="26.25" x14ac:dyDescent="0.4">
      <c r="A27" s="1" t="s">
        <v>23</v>
      </c>
      <c r="B27" s="2">
        <v>6.57</v>
      </c>
      <c r="C27" s="2">
        <v>0</v>
      </c>
      <c r="D27" s="5">
        <v>197696.96</v>
      </c>
      <c r="E27" s="2" t="s">
        <v>275</v>
      </c>
      <c r="F27" s="1" t="s">
        <v>51</v>
      </c>
      <c r="G27" s="2">
        <v>6.41</v>
      </c>
      <c r="H27" s="2">
        <v>0</v>
      </c>
      <c r="I27" s="5">
        <v>502877.56</v>
      </c>
      <c r="J27" s="2" t="s">
        <v>276</v>
      </c>
      <c r="K27" s="1" t="s">
        <v>122</v>
      </c>
      <c r="L27" s="2">
        <v>6.16</v>
      </c>
      <c r="M27" s="2">
        <v>0</v>
      </c>
      <c r="N27" s="5">
        <v>1440124.37</v>
      </c>
      <c r="O27" s="2" t="s">
        <v>277</v>
      </c>
      <c r="P27" s="1" t="s">
        <v>143</v>
      </c>
      <c r="Q27" s="2">
        <v>5.97</v>
      </c>
      <c r="R27" s="2">
        <v>5.0000000000000001E-3</v>
      </c>
      <c r="S27" s="5">
        <v>3110283.67</v>
      </c>
      <c r="T27" s="2" t="s">
        <v>277</v>
      </c>
      <c r="U27" s="1" t="s">
        <v>164</v>
      </c>
      <c r="V27" s="2">
        <v>5.67</v>
      </c>
      <c r="W27" s="2">
        <v>0.05</v>
      </c>
      <c r="X27" s="5">
        <v>10490592.08</v>
      </c>
      <c r="Y27" s="2" t="s">
        <v>278</v>
      </c>
      <c r="Z27" s="1" t="s">
        <v>185</v>
      </c>
      <c r="AA27" s="2">
        <v>5.42</v>
      </c>
      <c r="AB27" s="2">
        <v>8.6999999999999994E-2</v>
      </c>
      <c r="AC27" s="5">
        <v>28893489.82</v>
      </c>
      <c r="AD27" s="2" t="s">
        <v>278</v>
      </c>
      <c r="AE27" s="1" t="s">
        <v>206</v>
      </c>
      <c r="AF27" s="2">
        <v>5.13</v>
      </c>
      <c r="AG27" s="2">
        <v>0.13100000000000001</v>
      </c>
      <c r="AH27" s="5">
        <v>93583654.359999999</v>
      </c>
      <c r="AI27" s="2" t="s">
        <v>278</v>
      </c>
      <c r="AJ27" s="1" t="s">
        <v>227</v>
      </c>
      <c r="AK27" s="2">
        <v>4.83</v>
      </c>
      <c r="AL27" s="2">
        <v>0.17599999999999999</v>
      </c>
      <c r="AM27" s="2">
        <v>315645789.13</v>
      </c>
      <c r="AN27" s="2" t="s">
        <v>278</v>
      </c>
      <c r="AO27" s="1" t="s">
        <v>248</v>
      </c>
      <c r="AP27" s="2">
        <v>4.5</v>
      </c>
      <c r="AQ27" s="2">
        <v>0.22500000000000001</v>
      </c>
      <c r="AR27" s="2">
        <v>1202264434.6199999</v>
      </c>
      <c r="AS27" s="1" t="s">
        <v>278</v>
      </c>
      <c r="AT27" s="6">
        <v>24</v>
      </c>
    </row>
    <row r="28" spans="1:46" ht="26.25" x14ac:dyDescent="0.4">
      <c r="A28" s="1" t="s">
        <v>24</v>
      </c>
      <c r="B28" s="2">
        <v>6.49</v>
      </c>
      <c r="C28" s="2">
        <v>0</v>
      </c>
      <c r="D28" s="5">
        <v>168112.5</v>
      </c>
      <c r="E28" s="2" t="s">
        <v>275</v>
      </c>
      <c r="F28" s="1" t="s">
        <v>52</v>
      </c>
      <c r="G28" s="2">
        <v>6.35</v>
      </c>
      <c r="H28" s="2">
        <v>0</v>
      </c>
      <c r="I28" s="5">
        <v>666806.77</v>
      </c>
      <c r="J28" s="2" t="s">
        <v>276</v>
      </c>
      <c r="K28" s="1" t="s">
        <v>64</v>
      </c>
      <c r="L28" s="2">
        <v>6.24</v>
      </c>
      <c r="M28" s="2">
        <v>0</v>
      </c>
      <c r="N28" s="5">
        <v>1041357.86</v>
      </c>
      <c r="O28" s="2" t="s">
        <v>277</v>
      </c>
      <c r="P28" s="1" t="s">
        <v>70</v>
      </c>
      <c r="Q28" s="2">
        <v>6.01</v>
      </c>
      <c r="R28" s="2">
        <v>0</v>
      </c>
      <c r="S28" s="5">
        <v>2644843.63</v>
      </c>
      <c r="T28" s="2" t="s">
        <v>277</v>
      </c>
      <c r="U28" s="1" t="s">
        <v>76</v>
      </c>
      <c r="V28" s="2">
        <v>5.72</v>
      </c>
      <c r="W28" s="2">
        <v>4.2000000000000003E-2</v>
      </c>
      <c r="X28" s="5">
        <v>8566432.5600000005</v>
      </c>
      <c r="Y28" s="2" t="s">
        <v>277</v>
      </c>
      <c r="Z28" s="1" t="s">
        <v>83</v>
      </c>
      <c r="AA28" s="2">
        <v>5.4</v>
      </c>
      <c r="AB28" s="2">
        <v>0.09</v>
      </c>
      <c r="AC28" s="5">
        <v>31332857.239999998</v>
      </c>
      <c r="AD28" s="2" t="s">
        <v>278</v>
      </c>
      <c r="AE28" s="1" t="s">
        <v>90</v>
      </c>
      <c r="AF28" s="2">
        <v>5.1100000000000003</v>
      </c>
      <c r="AG28" s="2">
        <v>0.13300000000000001</v>
      </c>
      <c r="AH28" s="5">
        <v>101484566.28</v>
      </c>
      <c r="AI28" s="2" t="s">
        <v>278</v>
      </c>
      <c r="AJ28" s="1" t="s">
        <v>97</v>
      </c>
      <c r="AK28" s="2">
        <v>4.82</v>
      </c>
      <c r="AL28" s="2">
        <v>0.17699999999999999</v>
      </c>
      <c r="AM28" s="2">
        <v>328700223.97000003</v>
      </c>
      <c r="AN28" s="2" t="s">
        <v>278</v>
      </c>
      <c r="AO28" s="1" t="s">
        <v>104</v>
      </c>
      <c r="AP28" s="2">
        <v>4.47</v>
      </c>
      <c r="AQ28" s="2">
        <v>0.23</v>
      </c>
      <c r="AR28" s="2">
        <v>1357688064.1400001</v>
      </c>
      <c r="AS28" s="1" t="s">
        <v>278</v>
      </c>
      <c r="AT28" s="6">
        <v>25</v>
      </c>
    </row>
    <row r="29" spans="1:46" ht="26.25" x14ac:dyDescent="0.4">
      <c r="A29" s="1" t="s">
        <v>25</v>
      </c>
      <c r="B29" s="2">
        <v>6.49</v>
      </c>
      <c r="C29" s="2">
        <v>0</v>
      </c>
      <c r="D29" s="5">
        <v>168112.5</v>
      </c>
      <c r="E29" s="2" t="s">
        <v>275</v>
      </c>
      <c r="F29" s="1" t="s">
        <v>53</v>
      </c>
      <c r="G29" s="2">
        <v>6.35</v>
      </c>
      <c r="H29" s="2">
        <v>0</v>
      </c>
      <c r="I29" s="5">
        <v>666806.77</v>
      </c>
      <c r="J29" s="2" t="s">
        <v>276</v>
      </c>
      <c r="K29" s="1" t="s">
        <v>123</v>
      </c>
      <c r="L29" s="2">
        <v>6.24</v>
      </c>
      <c r="M29" s="2">
        <v>0</v>
      </c>
      <c r="N29" s="5">
        <v>1041357.86</v>
      </c>
      <c r="O29" s="2" t="s">
        <v>277</v>
      </c>
      <c r="P29" s="1" t="s">
        <v>144</v>
      </c>
      <c r="Q29" s="2">
        <v>6.01</v>
      </c>
      <c r="R29" s="2">
        <v>0</v>
      </c>
      <c r="S29" s="5">
        <v>2644843.63</v>
      </c>
      <c r="T29" s="2" t="s">
        <v>277</v>
      </c>
      <c r="U29" s="1" t="s">
        <v>165</v>
      </c>
      <c r="V29" s="2">
        <v>5.72</v>
      </c>
      <c r="W29" s="2">
        <v>4.2000000000000003E-2</v>
      </c>
      <c r="X29" s="5">
        <v>8566432.5600000005</v>
      </c>
      <c r="Y29" s="2" t="s">
        <v>277</v>
      </c>
      <c r="Z29" s="1" t="s">
        <v>186</v>
      </c>
      <c r="AA29" s="2">
        <v>5.4</v>
      </c>
      <c r="AB29" s="2">
        <v>0.09</v>
      </c>
      <c r="AC29" s="5">
        <v>31332857.239999998</v>
      </c>
      <c r="AD29" s="2" t="s">
        <v>278</v>
      </c>
      <c r="AE29" s="1" t="s">
        <v>207</v>
      </c>
      <c r="AF29" s="2">
        <v>5.1100000000000003</v>
      </c>
      <c r="AG29" s="2">
        <v>0.13300000000000001</v>
      </c>
      <c r="AH29" s="5">
        <v>101484566.28</v>
      </c>
      <c r="AI29" s="2" t="s">
        <v>278</v>
      </c>
      <c r="AJ29" s="1" t="s">
        <v>228</v>
      </c>
      <c r="AK29" s="2">
        <v>4.82</v>
      </c>
      <c r="AL29" s="2">
        <v>0.17699999999999999</v>
      </c>
      <c r="AM29" s="2">
        <v>328700223.97000003</v>
      </c>
      <c r="AN29" s="2" t="s">
        <v>278</v>
      </c>
      <c r="AO29" s="1" t="s">
        <v>249</v>
      </c>
      <c r="AP29" s="2">
        <v>4.47</v>
      </c>
      <c r="AQ29" s="2">
        <v>0.23</v>
      </c>
      <c r="AR29" s="2">
        <v>1357688064.1400001</v>
      </c>
      <c r="AS29" s="1" t="s">
        <v>278</v>
      </c>
      <c r="AT29" s="6">
        <v>26</v>
      </c>
    </row>
    <row r="30" spans="1:46" ht="26.25" x14ac:dyDescent="0.4">
      <c r="A30" s="1" t="s">
        <v>26</v>
      </c>
      <c r="B30" s="2">
        <v>6.49</v>
      </c>
      <c r="C30" s="2">
        <v>0</v>
      </c>
      <c r="D30" s="5">
        <v>168112.5</v>
      </c>
      <c r="E30" s="2" t="s">
        <v>275</v>
      </c>
      <c r="F30" s="1" t="s">
        <v>54</v>
      </c>
      <c r="G30" s="2">
        <v>6.35</v>
      </c>
      <c r="H30" s="2">
        <v>0</v>
      </c>
      <c r="I30" s="5">
        <v>666806.77</v>
      </c>
      <c r="J30" s="2" t="s">
        <v>276</v>
      </c>
      <c r="K30" s="1" t="s">
        <v>124</v>
      </c>
      <c r="L30" s="2">
        <v>6.24</v>
      </c>
      <c r="M30" s="2">
        <v>0</v>
      </c>
      <c r="N30" s="5">
        <v>1041357.86</v>
      </c>
      <c r="O30" s="2" t="s">
        <v>277</v>
      </c>
      <c r="P30" s="1" t="s">
        <v>145</v>
      </c>
      <c r="Q30" s="2">
        <v>6.01</v>
      </c>
      <c r="R30" s="2">
        <v>0</v>
      </c>
      <c r="S30" s="5">
        <v>2644843.63</v>
      </c>
      <c r="T30" s="2" t="s">
        <v>277</v>
      </c>
      <c r="U30" s="1" t="s">
        <v>166</v>
      </c>
      <c r="V30" s="2">
        <v>5.72</v>
      </c>
      <c r="W30" s="2">
        <v>4.2000000000000003E-2</v>
      </c>
      <c r="X30" s="5">
        <v>8566432.5600000005</v>
      </c>
      <c r="Y30" s="2" t="s">
        <v>277</v>
      </c>
      <c r="Z30" s="1" t="s">
        <v>187</v>
      </c>
      <c r="AA30" s="2">
        <v>5.4</v>
      </c>
      <c r="AB30" s="2">
        <v>0.09</v>
      </c>
      <c r="AC30" s="5">
        <v>31332857.239999998</v>
      </c>
      <c r="AD30" s="2" t="s">
        <v>278</v>
      </c>
      <c r="AE30" s="1" t="s">
        <v>208</v>
      </c>
      <c r="AF30" s="2">
        <v>5.1100000000000003</v>
      </c>
      <c r="AG30" s="2">
        <v>0.13300000000000001</v>
      </c>
      <c r="AH30" s="5">
        <v>101484566.28</v>
      </c>
      <c r="AI30" s="2" t="s">
        <v>278</v>
      </c>
      <c r="AJ30" s="1" t="s">
        <v>229</v>
      </c>
      <c r="AK30" s="2">
        <v>4.82</v>
      </c>
      <c r="AL30" s="2">
        <v>0.17699999999999999</v>
      </c>
      <c r="AM30" s="2">
        <v>328700223.97000003</v>
      </c>
      <c r="AN30" s="2" t="s">
        <v>278</v>
      </c>
      <c r="AO30" s="1" t="s">
        <v>250</v>
      </c>
      <c r="AP30" s="2">
        <v>4.47</v>
      </c>
      <c r="AQ30" s="2">
        <v>0.23</v>
      </c>
      <c r="AR30" s="2">
        <v>1357688064.1400001</v>
      </c>
      <c r="AS30" s="1" t="s">
        <v>278</v>
      </c>
      <c r="AT30" s="6">
        <v>27</v>
      </c>
    </row>
    <row r="31" spans="1:46" ht="26.25" x14ac:dyDescent="0.4">
      <c r="A31" s="1" t="s">
        <v>27</v>
      </c>
      <c r="B31" s="2">
        <v>6.49</v>
      </c>
      <c r="C31" s="2">
        <v>0</v>
      </c>
      <c r="D31" s="5">
        <v>168112.5</v>
      </c>
      <c r="E31" s="2" t="s">
        <v>275</v>
      </c>
      <c r="F31" s="1" t="s">
        <v>55</v>
      </c>
      <c r="G31" s="2">
        <v>6.35</v>
      </c>
      <c r="H31" s="2">
        <v>0</v>
      </c>
      <c r="I31" s="5">
        <v>666806.77</v>
      </c>
      <c r="J31" s="2" t="s">
        <v>276</v>
      </c>
      <c r="K31" s="1" t="s">
        <v>125</v>
      </c>
      <c r="L31" s="2">
        <v>6.24</v>
      </c>
      <c r="M31" s="2">
        <v>0</v>
      </c>
      <c r="N31" s="5">
        <v>1041357.86</v>
      </c>
      <c r="O31" s="2" t="s">
        <v>277</v>
      </c>
      <c r="P31" s="1" t="s">
        <v>146</v>
      </c>
      <c r="Q31" s="2">
        <v>6.01</v>
      </c>
      <c r="R31" s="2">
        <v>0</v>
      </c>
      <c r="S31" s="5">
        <v>2644843.63</v>
      </c>
      <c r="T31" s="2" t="s">
        <v>277</v>
      </c>
      <c r="U31" s="1" t="s">
        <v>167</v>
      </c>
      <c r="V31" s="2">
        <v>5.72</v>
      </c>
      <c r="W31" s="2">
        <v>4.2000000000000003E-2</v>
      </c>
      <c r="X31" s="5">
        <v>8566432.5600000005</v>
      </c>
      <c r="Y31" s="2" t="s">
        <v>277</v>
      </c>
      <c r="Z31" s="1" t="s">
        <v>188</v>
      </c>
      <c r="AA31" s="2">
        <v>5.4</v>
      </c>
      <c r="AB31" s="2">
        <v>0.09</v>
      </c>
      <c r="AC31" s="5">
        <v>31332857.239999998</v>
      </c>
      <c r="AD31" s="2" t="s">
        <v>278</v>
      </c>
      <c r="AE31" s="1" t="s">
        <v>209</v>
      </c>
      <c r="AF31" s="2">
        <v>5.1100000000000003</v>
      </c>
      <c r="AG31" s="2">
        <v>0.13300000000000001</v>
      </c>
      <c r="AH31" s="5">
        <v>101484566.28</v>
      </c>
      <c r="AI31" s="2" t="s">
        <v>278</v>
      </c>
      <c r="AJ31" s="1" t="s">
        <v>230</v>
      </c>
      <c r="AK31" s="2">
        <v>4.82</v>
      </c>
      <c r="AL31" s="2">
        <v>0.17699999999999999</v>
      </c>
      <c r="AM31" s="2">
        <v>328700223.97000003</v>
      </c>
      <c r="AN31" s="2" t="s">
        <v>278</v>
      </c>
      <c r="AO31" s="1" t="s">
        <v>251</v>
      </c>
      <c r="AP31" s="2">
        <v>4.47</v>
      </c>
      <c r="AQ31" s="2">
        <v>0.23</v>
      </c>
      <c r="AR31" s="2">
        <v>1357688064.1400001</v>
      </c>
      <c r="AS31" s="1" t="s">
        <v>278</v>
      </c>
      <c r="AT31" s="6">
        <v>28</v>
      </c>
    </row>
    <row r="32" spans="1:46" ht="26.25" x14ac:dyDescent="0.4">
      <c r="A32" s="3"/>
      <c r="B32" s="3"/>
      <c r="C32" s="3"/>
      <c r="D32" s="3"/>
      <c r="E32" s="3"/>
      <c r="F32" s="3">
        <f>STDEV(B4:B31)</f>
        <v>5.5472954466556694E-2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26.25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ht="26.25" x14ac:dyDescent="0.4">
      <c r="A34" s="3" t="s">
        <v>252</v>
      </c>
      <c r="B34" s="3">
        <v>252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ht="26.25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ht="26.25" x14ac:dyDescent="0.4">
      <c r="A36" s="3" t="s">
        <v>253</v>
      </c>
      <c r="B36" s="3"/>
      <c r="C36" s="3"/>
      <c r="D36" s="3"/>
      <c r="E36" s="3" t="s">
        <v>262</v>
      </c>
      <c r="F36" s="3"/>
      <c r="G36" s="3"/>
      <c r="H36" s="3"/>
      <c r="I36" s="3"/>
      <c r="J36" s="3" t="s">
        <v>275</v>
      </c>
      <c r="K36">
        <f>COUNTIF(B3:AS31, "Baik")</f>
        <v>28</v>
      </c>
      <c r="L36" s="3" t="s">
        <v>279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ht="26.25" x14ac:dyDescent="0.4">
      <c r="A37" s="3" t="s">
        <v>254</v>
      </c>
      <c r="B37" s="3"/>
      <c r="C37" s="3"/>
      <c r="D37" s="3"/>
      <c r="E37" s="3" t="s">
        <v>263</v>
      </c>
      <c r="F37" s="3"/>
      <c r="G37" s="3"/>
      <c r="H37" s="3"/>
      <c r="I37" s="3"/>
      <c r="J37" s="3" t="s">
        <v>276</v>
      </c>
      <c r="K37">
        <f>COUNTIF(B3:AS31, "Cukup")</f>
        <v>28</v>
      </c>
      <c r="L37" s="3" t="s">
        <v>280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ht="26.25" x14ac:dyDescent="0.4">
      <c r="A38" s="3" t="s">
        <v>255</v>
      </c>
      <c r="B38" s="3"/>
      <c r="C38" s="3"/>
      <c r="D38" s="3"/>
      <c r="E38" s="3" t="s">
        <v>264</v>
      </c>
      <c r="F38" s="3"/>
      <c r="G38" s="3"/>
      <c r="H38" s="3"/>
      <c r="I38" s="3"/>
      <c r="J38" s="3" t="s">
        <v>277</v>
      </c>
      <c r="K38">
        <f>COUNTIF(B3:AS31, "Buruk")</f>
        <v>72</v>
      </c>
      <c r="L38" s="3" t="s">
        <v>281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ht="26.25" x14ac:dyDescent="0.4">
      <c r="A39" s="3" t="s">
        <v>256</v>
      </c>
      <c r="B39" s="3"/>
      <c r="C39" s="3"/>
      <c r="D39" s="3"/>
      <c r="E39" s="3" t="s">
        <v>265</v>
      </c>
      <c r="F39" s="3"/>
      <c r="G39" s="3"/>
      <c r="H39" s="3"/>
      <c r="I39" s="3"/>
      <c r="J39" s="3" t="s">
        <v>278</v>
      </c>
      <c r="K39">
        <f>COUNTIF(B3:AS31, "Ditolak")</f>
        <v>124</v>
      </c>
      <c r="L39" s="3" t="s">
        <v>282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26.25" x14ac:dyDescent="0.4">
      <c r="A40" s="3" t="s">
        <v>257</v>
      </c>
      <c r="B40" s="3"/>
      <c r="C40" s="3"/>
      <c r="D40" s="3"/>
      <c r="E40" s="3" t="s">
        <v>266</v>
      </c>
      <c r="F40" s="3"/>
      <c r="G40" s="3"/>
      <c r="H40" s="3"/>
      <c r="I40" s="3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ht="26.25" x14ac:dyDescent="0.4">
      <c r="A41" s="3" t="s">
        <v>258</v>
      </c>
      <c r="B41" s="3"/>
      <c r="C41" s="3"/>
      <c r="D41" s="3"/>
      <c r="E41" s="3" t="s">
        <v>267</v>
      </c>
      <c r="F41" s="3"/>
      <c r="G41" s="3"/>
      <c r="H41" s="3"/>
      <c r="I41" s="3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26.25" x14ac:dyDescent="0.4">
      <c r="A42" s="3" t="s">
        <v>259</v>
      </c>
      <c r="B42" s="3"/>
      <c r="C42" s="3"/>
      <c r="D42" s="3"/>
      <c r="E42" s="3" t="s">
        <v>268</v>
      </c>
      <c r="F42" s="3"/>
      <c r="G42" s="3"/>
      <c r="H42" s="3"/>
      <c r="I42" s="3"/>
      <c r="J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26.25" x14ac:dyDescent="0.4">
      <c r="A43" s="4" t="s">
        <v>260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26.25" x14ac:dyDescent="0.4">
      <c r="A44" s="4" t="s">
        <v>261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</sheetData>
  <mergeCells count="1">
    <mergeCell ref="A1:A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51A3-E153-42EC-8ABE-07B101FF0745}">
  <dimension ref="A1:AT44"/>
  <sheetViews>
    <sheetView tabSelected="1" topLeftCell="Z1" zoomScale="55" zoomScaleNormal="55" workbookViewId="0">
      <selection activeCell="AU15" sqref="AU15"/>
    </sheetView>
  </sheetViews>
  <sheetFormatPr defaultColWidth="11" defaultRowHeight="15.75" x14ac:dyDescent="0.25"/>
  <cols>
    <col min="1" max="1" width="19.375" customWidth="1"/>
    <col min="3" max="3" width="20.5" bestFit="1" customWidth="1"/>
    <col min="4" max="5" width="20.5" customWidth="1"/>
    <col min="6" max="6" width="18.5" customWidth="1"/>
    <col min="8" max="8" width="20.5" bestFit="1" customWidth="1"/>
    <col min="9" max="9" width="20" bestFit="1" customWidth="1"/>
    <col min="10" max="10" width="13" bestFit="1" customWidth="1"/>
    <col min="11" max="11" width="19.5" customWidth="1"/>
    <col min="13" max="13" width="20.5" bestFit="1" customWidth="1"/>
    <col min="14" max="14" width="20" bestFit="1" customWidth="1"/>
    <col min="15" max="15" width="13" bestFit="1" customWidth="1"/>
    <col min="16" max="16" width="17.625" customWidth="1"/>
    <col min="18" max="18" width="20.5" bestFit="1" customWidth="1"/>
    <col min="19" max="19" width="20" bestFit="1" customWidth="1"/>
    <col min="20" max="20" width="13" bestFit="1" customWidth="1"/>
    <col min="21" max="21" width="18.125" bestFit="1" customWidth="1"/>
    <col min="23" max="23" width="20.5" bestFit="1" customWidth="1"/>
    <col min="24" max="24" width="20" bestFit="1" customWidth="1"/>
    <col min="25" max="25" width="13" bestFit="1" customWidth="1"/>
    <col min="26" max="26" width="18.125" bestFit="1" customWidth="1"/>
    <col min="28" max="28" width="20.5" bestFit="1" customWidth="1"/>
    <col min="29" max="29" width="20" bestFit="1" customWidth="1"/>
    <col min="30" max="30" width="13" bestFit="1" customWidth="1"/>
    <col min="31" max="31" width="18.125" bestFit="1" customWidth="1"/>
    <col min="32" max="32" width="10.875" customWidth="1"/>
    <col min="33" max="33" width="20.5" bestFit="1" customWidth="1"/>
    <col min="34" max="34" width="23.875" bestFit="1" customWidth="1"/>
    <col min="35" max="35" width="26.625" customWidth="1"/>
    <col min="36" max="36" width="18.125" bestFit="1" customWidth="1"/>
    <col min="38" max="38" width="20.5" bestFit="1" customWidth="1"/>
    <col min="39" max="39" width="20" bestFit="1" customWidth="1"/>
    <col min="40" max="40" width="29.375" customWidth="1"/>
    <col min="41" max="41" width="18.125" bestFit="1" customWidth="1"/>
    <col min="43" max="43" width="20.5" bestFit="1" customWidth="1"/>
    <col min="44" max="44" width="20" bestFit="1" customWidth="1"/>
    <col min="45" max="45" width="23.875" customWidth="1"/>
  </cols>
  <sheetData>
    <row r="1" spans="1:46" x14ac:dyDescent="0.25">
      <c r="A1" s="7" t="s">
        <v>270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spans="1:4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6" ht="26.25" x14ac:dyDescent="0.4">
      <c r="A3" s="1" t="s">
        <v>274</v>
      </c>
      <c r="B3" s="2" t="s">
        <v>269</v>
      </c>
      <c r="C3" s="2" t="s">
        <v>271</v>
      </c>
      <c r="D3" s="2" t="s">
        <v>272</v>
      </c>
      <c r="E3" s="2" t="s">
        <v>273</v>
      </c>
      <c r="F3" s="1" t="s">
        <v>274</v>
      </c>
      <c r="G3" s="2" t="s">
        <v>269</v>
      </c>
      <c r="H3" s="2" t="s">
        <v>271</v>
      </c>
      <c r="I3" s="2" t="s">
        <v>272</v>
      </c>
      <c r="J3" s="2" t="s">
        <v>273</v>
      </c>
      <c r="K3" s="1"/>
      <c r="L3" s="2" t="s">
        <v>269</v>
      </c>
      <c r="M3" s="2" t="s">
        <v>271</v>
      </c>
      <c r="N3" s="2" t="s">
        <v>272</v>
      </c>
      <c r="O3" s="2" t="s">
        <v>273</v>
      </c>
      <c r="P3" s="1"/>
      <c r="Q3" s="2" t="s">
        <v>269</v>
      </c>
      <c r="R3" s="2" t="s">
        <v>271</v>
      </c>
      <c r="S3" s="2" t="s">
        <v>272</v>
      </c>
      <c r="T3" s="2" t="s">
        <v>273</v>
      </c>
      <c r="U3" s="1"/>
      <c r="V3" s="2" t="s">
        <v>269</v>
      </c>
      <c r="W3" s="2" t="s">
        <v>271</v>
      </c>
      <c r="X3" s="2" t="s">
        <v>272</v>
      </c>
      <c r="Y3" s="2" t="s">
        <v>273</v>
      </c>
      <c r="Z3" s="1"/>
      <c r="AA3" s="2" t="s">
        <v>269</v>
      </c>
      <c r="AB3" s="2" t="s">
        <v>271</v>
      </c>
      <c r="AC3" s="2" t="s">
        <v>272</v>
      </c>
      <c r="AD3" s="2" t="s">
        <v>273</v>
      </c>
      <c r="AE3" s="1"/>
      <c r="AF3" s="2" t="s">
        <v>269</v>
      </c>
      <c r="AG3" s="2" t="s">
        <v>271</v>
      </c>
      <c r="AH3" s="2" t="s">
        <v>272</v>
      </c>
      <c r="AI3" s="2" t="s">
        <v>273</v>
      </c>
      <c r="AJ3" s="1"/>
      <c r="AK3" s="2" t="s">
        <v>269</v>
      </c>
      <c r="AL3" s="2" t="s">
        <v>271</v>
      </c>
      <c r="AM3" s="2" t="s">
        <v>272</v>
      </c>
      <c r="AN3" s="2" t="s">
        <v>273</v>
      </c>
      <c r="AO3" s="1"/>
      <c r="AP3" s="2" t="s">
        <v>269</v>
      </c>
      <c r="AQ3" s="2" t="s">
        <v>271</v>
      </c>
      <c r="AR3" s="2" t="s">
        <v>272</v>
      </c>
      <c r="AS3" s="2" t="s">
        <v>273</v>
      </c>
    </row>
    <row r="4" spans="1:46" ht="26.25" x14ac:dyDescent="0.4">
      <c r="A4" s="1" t="s">
        <v>0</v>
      </c>
      <c r="B4" s="2">
        <v>6.66</v>
      </c>
      <c r="C4" s="2">
        <v>0</v>
      </c>
      <c r="D4" s="5">
        <v>189845.37</v>
      </c>
      <c r="E4" s="2" t="s">
        <v>275</v>
      </c>
      <c r="F4" s="1" t="s">
        <v>28</v>
      </c>
      <c r="G4" s="2">
        <v>6.42</v>
      </c>
      <c r="H4" s="2">
        <v>0</v>
      </c>
      <c r="I4" s="5">
        <v>502111.31</v>
      </c>
      <c r="J4" s="2" t="s">
        <v>275</v>
      </c>
      <c r="K4" s="1" t="s">
        <v>56</v>
      </c>
      <c r="L4" s="2">
        <v>6.16</v>
      </c>
      <c r="M4" s="2">
        <v>0</v>
      </c>
      <c r="N4" s="5">
        <v>1440124.37</v>
      </c>
      <c r="O4" s="2" t="s">
        <v>283</v>
      </c>
      <c r="P4" s="1" t="s">
        <v>57</v>
      </c>
      <c r="Q4" s="2">
        <v>5.99</v>
      </c>
      <c r="R4" s="2">
        <v>2E-3</v>
      </c>
      <c r="S4" s="5">
        <v>2868137.71</v>
      </c>
      <c r="T4" s="2" t="s">
        <v>283</v>
      </c>
      <c r="U4" s="1" t="s">
        <v>58</v>
      </c>
      <c r="V4" s="2">
        <v>5.68</v>
      </c>
      <c r="W4" s="2">
        <v>4.8000000000000001E-2</v>
      </c>
      <c r="X4" s="5">
        <v>10073954.85</v>
      </c>
      <c r="Y4" s="2" t="s">
        <v>283</v>
      </c>
      <c r="Z4" s="1" t="s">
        <v>77</v>
      </c>
      <c r="AA4" s="2">
        <v>5.37</v>
      </c>
      <c r="AB4" s="2">
        <v>9.5000000000000001E-2</v>
      </c>
      <c r="AC4" s="5">
        <v>35383435.68</v>
      </c>
      <c r="AD4" s="2" t="s">
        <v>283</v>
      </c>
      <c r="AE4" s="1" t="s">
        <v>84</v>
      </c>
      <c r="AF4" s="2">
        <v>5.0999999999999996</v>
      </c>
      <c r="AG4" s="2">
        <v>0.13500000000000001</v>
      </c>
      <c r="AH4" s="5">
        <v>105681750.92</v>
      </c>
      <c r="AI4" s="2" t="s">
        <v>284</v>
      </c>
      <c r="AJ4" s="1" t="s">
        <v>91</v>
      </c>
      <c r="AK4" s="2">
        <v>4.76</v>
      </c>
      <c r="AL4" s="2">
        <v>0.186</v>
      </c>
      <c r="AM4" s="2">
        <v>419179465.93000001</v>
      </c>
      <c r="AN4" s="2" t="s">
        <v>284</v>
      </c>
      <c r="AO4" s="1" t="s">
        <v>98</v>
      </c>
      <c r="AP4" s="2">
        <v>4.4800000000000004</v>
      </c>
      <c r="AQ4" s="2">
        <v>0.22800000000000001</v>
      </c>
      <c r="AR4" s="2">
        <v>1303767047.1400001</v>
      </c>
      <c r="AS4" s="8" t="s">
        <v>284</v>
      </c>
      <c r="AT4" s="9"/>
    </row>
    <row r="5" spans="1:46" ht="26.25" x14ac:dyDescent="0.4">
      <c r="A5" s="1" t="s">
        <v>1</v>
      </c>
      <c r="B5" s="2">
        <v>6.66</v>
      </c>
      <c r="C5" s="2">
        <v>0</v>
      </c>
      <c r="D5" s="5">
        <v>189845.37</v>
      </c>
      <c r="E5" s="2" t="s">
        <v>275</v>
      </c>
      <c r="F5" s="1" t="s">
        <v>29</v>
      </c>
      <c r="G5" s="2">
        <v>6.42</v>
      </c>
      <c r="H5" s="2">
        <v>0</v>
      </c>
      <c r="I5" s="5">
        <v>502111.31</v>
      </c>
      <c r="J5" s="2" t="s">
        <v>275</v>
      </c>
      <c r="K5" s="1" t="s">
        <v>105</v>
      </c>
      <c r="L5" s="2">
        <v>6.16</v>
      </c>
      <c r="M5" s="2">
        <v>0</v>
      </c>
      <c r="N5" s="5">
        <v>1440124.37</v>
      </c>
      <c r="O5" s="2" t="s">
        <v>283</v>
      </c>
      <c r="P5" s="1" t="s">
        <v>126</v>
      </c>
      <c r="Q5" s="2">
        <v>5.99</v>
      </c>
      <c r="R5" s="2">
        <v>2E-3</v>
      </c>
      <c r="S5" s="5">
        <v>2868137.71</v>
      </c>
      <c r="T5" s="2" t="s">
        <v>283</v>
      </c>
      <c r="U5" s="1" t="s">
        <v>147</v>
      </c>
      <c r="V5" s="2">
        <v>5.68</v>
      </c>
      <c r="W5" s="2">
        <v>4.8000000000000001E-2</v>
      </c>
      <c r="X5" s="5">
        <v>10073954.85</v>
      </c>
      <c r="Y5" s="2" t="s">
        <v>283</v>
      </c>
      <c r="Z5" s="1" t="s">
        <v>168</v>
      </c>
      <c r="AA5" s="2">
        <v>5.37</v>
      </c>
      <c r="AB5" s="2">
        <v>9.5000000000000001E-2</v>
      </c>
      <c r="AC5" s="5">
        <v>35383435.68</v>
      </c>
      <c r="AD5" s="2" t="s">
        <v>283</v>
      </c>
      <c r="AE5" s="1" t="s">
        <v>189</v>
      </c>
      <c r="AF5" s="2">
        <v>5.0999999999999996</v>
      </c>
      <c r="AG5" s="2">
        <v>0.13500000000000001</v>
      </c>
      <c r="AH5" s="5">
        <v>105681750.92</v>
      </c>
      <c r="AI5" s="2" t="s">
        <v>284</v>
      </c>
      <c r="AJ5" s="1" t="s">
        <v>210</v>
      </c>
      <c r="AK5" s="2">
        <v>4.76</v>
      </c>
      <c r="AL5" s="2">
        <v>0.186</v>
      </c>
      <c r="AM5" s="2">
        <v>419179465.93000001</v>
      </c>
      <c r="AN5" s="2" t="s">
        <v>284</v>
      </c>
      <c r="AO5" s="1" t="s">
        <v>231</v>
      </c>
      <c r="AP5" s="2">
        <v>4.4800000000000004</v>
      </c>
      <c r="AQ5" s="2">
        <v>0.22800000000000001</v>
      </c>
      <c r="AR5" s="2">
        <v>1303767047.1400001</v>
      </c>
      <c r="AS5" s="8" t="s">
        <v>284</v>
      </c>
      <c r="AT5" s="9"/>
    </row>
    <row r="6" spans="1:46" ht="26.25" x14ac:dyDescent="0.4">
      <c r="A6" s="1" t="s">
        <v>2</v>
      </c>
      <c r="B6" s="2">
        <v>6.66</v>
      </c>
      <c r="C6" s="2">
        <v>0</v>
      </c>
      <c r="D6" s="5">
        <v>189845.37</v>
      </c>
      <c r="E6" s="2" t="s">
        <v>275</v>
      </c>
      <c r="F6" s="1" t="s">
        <v>30</v>
      </c>
      <c r="G6" s="2">
        <v>6.42</v>
      </c>
      <c r="H6" s="2">
        <v>0</v>
      </c>
      <c r="I6" s="5">
        <v>502111.31</v>
      </c>
      <c r="J6" s="2" t="s">
        <v>275</v>
      </c>
      <c r="K6" s="1" t="s">
        <v>106</v>
      </c>
      <c r="L6" s="2">
        <v>6.16</v>
      </c>
      <c r="M6" s="2">
        <v>0</v>
      </c>
      <c r="N6" s="5">
        <v>1440124.37</v>
      </c>
      <c r="O6" s="2" t="s">
        <v>283</v>
      </c>
      <c r="P6" s="1" t="s">
        <v>127</v>
      </c>
      <c r="Q6" s="2">
        <v>5.99</v>
      </c>
      <c r="R6" s="2">
        <v>2E-3</v>
      </c>
      <c r="S6" s="5">
        <v>2868137.71</v>
      </c>
      <c r="T6" s="2" t="s">
        <v>283</v>
      </c>
      <c r="U6" s="1" t="s">
        <v>148</v>
      </c>
      <c r="V6" s="2">
        <v>5.68</v>
      </c>
      <c r="W6" s="2">
        <v>4.8000000000000001E-2</v>
      </c>
      <c r="X6" s="5">
        <v>10073954.85</v>
      </c>
      <c r="Y6" s="2" t="s">
        <v>283</v>
      </c>
      <c r="Z6" s="1" t="s">
        <v>169</v>
      </c>
      <c r="AA6" s="2">
        <v>5.37</v>
      </c>
      <c r="AB6" s="2">
        <v>9.5000000000000001E-2</v>
      </c>
      <c r="AC6" s="5">
        <v>35383435.68</v>
      </c>
      <c r="AD6" s="2" t="s">
        <v>283</v>
      </c>
      <c r="AE6" s="1" t="s">
        <v>190</v>
      </c>
      <c r="AF6" s="2">
        <v>5.0999999999999996</v>
      </c>
      <c r="AG6" s="2">
        <v>0.13500000000000001</v>
      </c>
      <c r="AH6" s="5">
        <v>105681750.92</v>
      </c>
      <c r="AI6" s="2" t="s">
        <v>284</v>
      </c>
      <c r="AJ6" s="1" t="s">
        <v>211</v>
      </c>
      <c r="AK6" s="2">
        <v>4.76</v>
      </c>
      <c r="AL6" s="2">
        <v>0.186</v>
      </c>
      <c r="AM6" s="2">
        <v>419179465.93000001</v>
      </c>
      <c r="AN6" s="2" t="s">
        <v>284</v>
      </c>
      <c r="AO6" s="1" t="s">
        <v>232</v>
      </c>
      <c r="AP6" s="2">
        <v>4.4800000000000004</v>
      </c>
      <c r="AQ6" s="2">
        <v>0.22800000000000001</v>
      </c>
      <c r="AR6" s="2">
        <v>1303767047.1400001</v>
      </c>
      <c r="AS6" s="8" t="s">
        <v>284</v>
      </c>
      <c r="AT6" s="9"/>
    </row>
    <row r="7" spans="1:46" ht="26.25" x14ac:dyDescent="0.4">
      <c r="A7" s="1" t="s">
        <v>3</v>
      </c>
      <c r="B7" s="2">
        <v>6.66</v>
      </c>
      <c r="C7" s="2">
        <v>0</v>
      </c>
      <c r="D7" s="5">
        <v>189845.37</v>
      </c>
      <c r="E7" s="2" t="s">
        <v>275</v>
      </c>
      <c r="F7" s="1" t="s">
        <v>31</v>
      </c>
      <c r="G7" s="2">
        <v>6.42</v>
      </c>
      <c r="H7" s="2">
        <v>0</v>
      </c>
      <c r="I7" s="5">
        <v>502111.31</v>
      </c>
      <c r="J7" s="2" t="s">
        <v>275</v>
      </c>
      <c r="K7" s="1" t="s">
        <v>107</v>
      </c>
      <c r="L7" s="2">
        <v>6.16</v>
      </c>
      <c r="M7" s="2">
        <v>0</v>
      </c>
      <c r="N7" s="5">
        <v>1440124.37</v>
      </c>
      <c r="O7" s="2" t="s">
        <v>283</v>
      </c>
      <c r="P7" s="1" t="s">
        <v>128</v>
      </c>
      <c r="Q7" s="2">
        <v>5.99</v>
      </c>
      <c r="R7" s="2">
        <v>2E-3</v>
      </c>
      <c r="S7" s="5">
        <v>2868137.71</v>
      </c>
      <c r="T7" s="2" t="s">
        <v>283</v>
      </c>
      <c r="U7" s="1" t="s">
        <v>149</v>
      </c>
      <c r="V7" s="2">
        <v>5.68</v>
      </c>
      <c r="W7" s="2">
        <v>4.8000000000000001E-2</v>
      </c>
      <c r="X7" s="5">
        <v>10073954.85</v>
      </c>
      <c r="Y7" s="2" t="s">
        <v>283</v>
      </c>
      <c r="Z7" s="1" t="s">
        <v>170</v>
      </c>
      <c r="AA7" s="2">
        <v>5.37</v>
      </c>
      <c r="AB7" s="2">
        <v>9.5000000000000001E-2</v>
      </c>
      <c r="AC7" s="5">
        <v>35383435.68</v>
      </c>
      <c r="AD7" s="2" t="s">
        <v>283</v>
      </c>
      <c r="AE7" s="1" t="s">
        <v>191</v>
      </c>
      <c r="AF7" s="2">
        <v>5.0999999999999996</v>
      </c>
      <c r="AG7" s="2">
        <v>0.13500000000000001</v>
      </c>
      <c r="AH7" s="5">
        <v>105681750.92</v>
      </c>
      <c r="AI7" s="2" t="s">
        <v>284</v>
      </c>
      <c r="AJ7" s="1" t="s">
        <v>212</v>
      </c>
      <c r="AK7" s="2">
        <v>4.76</v>
      </c>
      <c r="AL7" s="2">
        <v>0.186</v>
      </c>
      <c r="AM7" s="2">
        <v>419179465.93000001</v>
      </c>
      <c r="AN7" s="2" t="s">
        <v>284</v>
      </c>
      <c r="AO7" s="1" t="s">
        <v>233</v>
      </c>
      <c r="AP7" s="2">
        <v>4.4800000000000004</v>
      </c>
      <c r="AQ7" s="2">
        <v>0.22800000000000001</v>
      </c>
      <c r="AR7" s="2">
        <v>1303767047.1400001</v>
      </c>
      <c r="AS7" s="8" t="s">
        <v>284</v>
      </c>
      <c r="AT7" s="9"/>
    </row>
    <row r="8" spans="1:46" ht="26.25" x14ac:dyDescent="0.4">
      <c r="A8" s="1" t="s">
        <v>4</v>
      </c>
      <c r="B8" s="2">
        <v>6.51</v>
      </c>
      <c r="C8" s="2">
        <v>0</v>
      </c>
      <c r="D8" s="5">
        <v>205873.29</v>
      </c>
      <c r="E8" s="2" t="s">
        <v>275</v>
      </c>
      <c r="F8" s="1" t="s">
        <v>32</v>
      </c>
      <c r="G8" s="2">
        <v>6.39</v>
      </c>
      <c r="H8" s="2">
        <v>0</v>
      </c>
      <c r="I8" s="5">
        <v>567022.12</v>
      </c>
      <c r="J8" s="2" t="s">
        <v>275</v>
      </c>
      <c r="K8" s="1" t="s">
        <v>59</v>
      </c>
      <c r="L8" s="2">
        <v>6.19</v>
      </c>
      <c r="M8" s="2">
        <v>0</v>
      </c>
      <c r="N8" s="5">
        <v>1275263.71</v>
      </c>
      <c r="O8" s="2" t="s">
        <v>283</v>
      </c>
      <c r="P8" s="1" t="s">
        <v>65</v>
      </c>
      <c r="Q8" s="2">
        <v>6</v>
      </c>
      <c r="R8" s="2">
        <v>0</v>
      </c>
      <c r="S8" s="5">
        <v>2754228.7</v>
      </c>
      <c r="T8" s="2" t="s">
        <v>283</v>
      </c>
      <c r="U8" s="1" t="s">
        <v>71</v>
      </c>
      <c r="V8" s="2">
        <v>5.69</v>
      </c>
      <c r="W8" s="2">
        <v>4.5999999999999999E-2</v>
      </c>
      <c r="X8" s="5">
        <v>9673864.5</v>
      </c>
      <c r="Y8" s="2" t="s">
        <v>283</v>
      </c>
      <c r="Z8" s="1" t="s">
        <v>78</v>
      </c>
      <c r="AA8" s="2">
        <v>5.41</v>
      </c>
      <c r="AB8" s="2">
        <v>8.8999999999999996E-2</v>
      </c>
      <c r="AC8" s="5">
        <v>30088462.77</v>
      </c>
      <c r="AD8" s="2" t="s">
        <v>283</v>
      </c>
      <c r="AE8" s="1" t="s">
        <v>85</v>
      </c>
      <c r="AF8" s="2">
        <v>5.09</v>
      </c>
      <c r="AG8" s="2">
        <v>0.13700000000000001</v>
      </c>
      <c r="AH8" s="5">
        <v>110052522.14</v>
      </c>
      <c r="AI8" s="2" t="s">
        <v>284</v>
      </c>
      <c r="AJ8" s="1" t="s">
        <v>92</v>
      </c>
      <c r="AK8" s="2">
        <v>4.8099999999999996</v>
      </c>
      <c r="AL8" s="2">
        <v>0.17899999999999999</v>
      </c>
      <c r="AM8" s="2">
        <v>342294562.31999999</v>
      </c>
      <c r="AN8" s="2" t="s">
        <v>284</v>
      </c>
      <c r="AO8" s="1" t="s">
        <v>99</v>
      </c>
      <c r="AP8" s="2">
        <v>4.49</v>
      </c>
      <c r="AQ8" s="2">
        <v>0.22700000000000001</v>
      </c>
      <c r="AR8" s="2">
        <v>1251987520.6199999</v>
      </c>
      <c r="AS8" s="8" t="s">
        <v>284</v>
      </c>
      <c r="AT8" s="9"/>
    </row>
    <row r="9" spans="1:46" ht="26.25" x14ac:dyDescent="0.4">
      <c r="A9" s="1" t="s">
        <v>5</v>
      </c>
      <c r="B9" s="2">
        <v>6.51</v>
      </c>
      <c r="C9" s="2">
        <v>0</v>
      </c>
      <c r="D9" s="5">
        <v>205873.29</v>
      </c>
      <c r="E9" s="2" t="s">
        <v>275</v>
      </c>
      <c r="F9" s="1" t="s">
        <v>33</v>
      </c>
      <c r="G9" s="2">
        <v>6.39</v>
      </c>
      <c r="H9" s="2">
        <v>0</v>
      </c>
      <c r="I9" s="5">
        <v>567022.12</v>
      </c>
      <c r="J9" s="2" t="s">
        <v>275</v>
      </c>
      <c r="K9" s="1" t="s">
        <v>108</v>
      </c>
      <c r="L9" s="2">
        <v>6.19</v>
      </c>
      <c r="M9" s="2">
        <v>0</v>
      </c>
      <c r="N9" s="5">
        <v>1275263.71</v>
      </c>
      <c r="O9" s="2" t="s">
        <v>283</v>
      </c>
      <c r="P9" s="1" t="s">
        <v>129</v>
      </c>
      <c r="Q9" s="2">
        <v>6</v>
      </c>
      <c r="R9" s="2">
        <v>0</v>
      </c>
      <c r="S9" s="5">
        <v>2754228.7</v>
      </c>
      <c r="T9" s="2" t="s">
        <v>283</v>
      </c>
      <c r="U9" s="1" t="s">
        <v>150</v>
      </c>
      <c r="V9" s="2">
        <v>5.69</v>
      </c>
      <c r="W9" s="2">
        <v>4.5999999999999999E-2</v>
      </c>
      <c r="X9" s="5">
        <v>9673864.5</v>
      </c>
      <c r="Y9" s="2" t="s">
        <v>283</v>
      </c>
      <c r="Z9" s="1" t="s">
        <v>171</v>
      </c>
      <c r="AA9" s="2">
        <v>5.41</v>
      </c>
      <c r="AB9" s="2">
        <v>8.8999999999999996E-2</v>
      </c>
      <c r="AC9" s="5">
        <v>30088462.77</v>
      </c>
      <c r="AD9" s="2" t="s">
        <v>283</v>
      </c>
      <c r="AE9" s="1" t="s">
        <v>192</v>
      </c>
      <c r="AF9" s="2">
        <v>5.09</v>
      </c>
      <c r="AG9" s="2">
        <v>0.13700000000000001</v>
      </c>
      <c r="AH9" s="5">
        <v>110052522.14</v>
      </c>
      <c r="AI9" s="2" t="s">
        <v>284</v>
      </c>
      <c r="AJ9" s="1" t="s">
        <v>213</v>
      </c>
      <c r="AK9" s="2">
        <v>4.8099999999999996</v>
      </c>
      <c r="AL9" s="2">
        <v>0.17899999999999999</v>
      </c>
      <c r="AM9" s="2">
        <v>342294562.31999999</v>
      </c>
      <c r="AN9" s="2" t="s">
        <v>284</v>
      </c>
      <c r="AO9" s="1" t="s">
        <v>234</v>
      </c>
      <c r="AP9" s="2">
        <v>4.49</v>
      </c>
      <c r="AQ9" s="2">
        <v>0.22700000000000001</v>
      </c>
      <c r="AR9" s="2">
        <v>1251987520.6199999</v>
      </c>
      <c r="AS9" s="8" t="s">
        <v>284</v>
      </c>
      <c r="AT9" s="9"/>
    </row>
    <row r="10" spans="1:46" ht="26.25" x14ac:dyDescent="0.4">
      <c r="A10" s="1" t="s">
        <v>6</v>
      </c>
      <c r="B10" s="2">
        <v>6.51</v>
      </c>
      <c r="C10" s="2">
        <v>0</v>
      </c>
      <c r="D10" s="5">
        <v>205873.29</v>
      </c>
      <c r="E10" s="2" t="s">
        <v>275</v>
      </c>
      <c r="F10" s="1" t="s">
        <v>34</v>
      </c>
      <c r="G10" s="2">
        <v>6.39</v>
      </c>
      <c r="H10" s="2">
        <v>0</v>
      </c>
      <c r="I10" s="5">
        <v>567022.12</v>
      </c>
      <c r="J10" s="2" t="s">
        <v>275</v>
      </c>
      <c r="K10" s="1" t="s">
        <v>109</v>
      </c>
      <c r="L10" s="2">
        <v>6.19</v>
      </c>
      <c r="M10" s="2">
        <v>0</v>
      </c>
      <c r="N10" s="5">
        <v>1275263.71</v>
      </c>
      <c r="O10" s="2" t="s">
        <v>283</v>
      </c>
      <c r="P10" s="1" t="s">
        <v>130</v>
      </c>
      <c r="Q10" s="2">
        <v>6</v>
      </c>
      <c r="R10" s="2">
        <v>0</v>
      </c>
      <c r="S10" s="5">
        <v>2754228.7</v>
      </c>
      <c r="T10" s="2" t="s">
        <v>283</v>
      </c>
      <c r="U10" s="1" t="s">
        <v>151</v>
      </c>
      <c r="V10" s="2">
        <v>5.69</v>
      </c>
      <c r="W10" s="2">
        <v>4.5999999999999999E-2</v>
      </c>
      <c r="X10" s="5">
        <v>9673864.5</v>
      </c>
      <c r="Y10" s="2" t="s">
        <v>283</v>
      </c>
      <c r="Z10" s="1" t="s">
        <v>172</v>
      </c>
      <c r="AA10" s="2">
        <v>5.41</v>
      </c>
      <c r="AB10" s="2">
        <v>8.8999999999999996E-2</v>
      </c>
      <c r="AC10" s="5">
        <v>30088462.77</v>
      </c>
      <c r="AD10" s="2" t="s">
        <v>283</v>
      </c>
      <c r="AE10" s="1" t="s">
        <v>193</v>
      </c>
      <c r="AF10" s="2">
        <v>5.09</v>
      </c>
      <c r="AG10" s="2">
        <v>0.13700000000000001</v>
      </c>
      <c r="AH10" s="5">
        <v>110052522.14</v>
      </c>
      <c r="AI10" s="2" t="s">
        <v>284</v>
      </c>
      <c r="AJ10" s="1" t="s">
        <v>214</v>
      </c>
      <c r="AK10" s="2">
        <v>4.8099999999999996</v>
      </c>
      <c r="AL10" s="2">
        <v>0.17899999999999999</v>
      </c>
      <c r="AM10" s="2">
        <v>342294562.31999999</v>
      </c>
      <c r="AN10" s="2" t="s">
        <v>284</v>
      </c>
      <c r="AO10" s="1" t="s">
        <v>235</v>
      </c>
      <c r="AP10" s="2">
        <v>4.49</v>
      </c>
      <c r="AQ10" s="2">
        <v>0.22700000000000001</v>
      </c>
      <c r="AR10" s="2">
        <v>1251987520.6199999</v>
      </c>
      <c r="AS10" s="8" t="s">
        <v>284</v>
      </c>
      <c r="AT10" s="9"/>
    </row>
    <row r="11" spans="1:46" ht="26.25" x14ac:dyDescent="0.4">
      <c r="A11" s="1" t="s">
        <v>7</v>
      </c>
      <c r="B11" s="2">
        <v>6.51</v>
      </c>
      <c r="C11" s="2">
        <v>0</v>
      </c>
      <c r="D11" s="5">
        <v>205873.29</v>
      </c>
      <c r="E11" s="2" t="s">
        <v>275</v>
      </c>
      <c r="F11" s="1" t="s">
        <v>35</v>
      </c>
      <c r="G11" s="2">
        <v>6.39</v>
      </c>
      <c r="H11" s="2">
        <v>0</v>
      </c>
      <c r="I11" s="5">
        <v>567022.12</v>
      </c>
      <c r="J11" s="2" t="s">
        <v>275</v>
      </c>
      <c r="K11" s="1" t="s">
        <v>110</v>
      </c>
      <c r="L11" s="2">
        <v>6.19</v>
      </c>
      <c r="M11" s="2">
        <v>0</v>
      </c>
      <c r="N11" s="5">
        <v>1275263.71</v>
      </c>
      <c r="O11" s="2" t="s">
        <v>283</v>
      </c>
      <c r="P11" s="1" t="s">
        <v>131</v>
      </c>
      <c r="Q11" s="2">
        <v>6</v>
      </c>
      <c r="R11" s="2">
        <v>0</v>
      </c>
      <c r="S11" s="5">
        <v>2754228.7</v>
      </c>
      <c r="T11" s="2" t="s">
        <v>283</v>
      </c>
      <c r="U11" s="1" t="s">
        <v>152</v>
      </c>
      <c r="V11" s="2">
        <v>5.69</v>
      </c>
      <c r="W11" s="2">
        <v>4.5999999999999999E-2</v>
      </c>
      <c r="X11" s="5">
        <v>9673864.5</v>
      </c>
      <c r="Y11" s="2" t="s">
        <v>283</v>
      </c>
      <c r="Z11" s="1" t="s">
        <v>173</v>
      </c>
      <c r="AA11" s="2">
        <v>5.41</v>
      </c>
      <c r="AB11" s="2">
        <v>8.8999999999999996E-2</v>
      </c>
      <c r="AC11" s="5">
        <v>30088462.77</v>
      </c>
      <c r="AD11" s="2" t="s">
        <v>283</v>
      </c>
      <c r="AE11" s="1" t="s">
        <v>194</v>
      </c>
      <c r="AF11" s="2">
        <v>5.09</v>
      </c>
      <c r="AG11" s="2">
        <v>0.13700000000000001</v>
      </c>
      <c r="AH11" s="5">
        <v>110052522.14</v>
      </c>
      <c r="AI11" s="2" t="s">
        <v>284</v>
      </c>
      <c r="AJ11" s="1" t="s">
        <v>215</v>
      </c>
      <c r="AK11" s="2">
        <v>4.8099999999999996</v>
      </c>
      <c r="AL11" s="2">
        <v>0.17899999999999999</v>
      </c>
      <c r="AM11" s="2">
        <v>342294562.31999999</v>
      </c>
      <c r="AN11" s="2" t="s">
        <v>284</v>
      </c>
      <c r="AO11" s="1" t="s">
        <v>236</v>
      </c>
      <c r="AP11" s="2">
        <v>4.49</v>
      </c>
      <c r="AQ11" s="2">
        <v>0.22700000000000001</v>
      </c>
      <c r="AR11" s="2">
        <v>1251987520.6199999</v>
      </c>
      <c r="AS11" s="8" t="s">
        <v>284</v>
      </c>
      <c r="AT11" s="9"/>
    </row>
    <row r="12" spans="1:46" ht="26.25" x14ac:dyDescent="0.4">
      <c r="A12" s="1" t="s">
        <v>8</v>
      </c>
      <c r="B12" s="2">
        <v>6.6</v>
      </c>
      <c r="C12" s="2">
        <v>0</v>
      </c>
      <c r="D12" s="5">
        <v>168112.5</v>
      </c>
      <c r="E12" s="2" t="s">
        <v>275</v>
      </c>
      <c r="F12" s="1" t="s">
        <v>36</v>
      </c>
      <c r="G12" s="2">
        <v>6.41</v>
      </c>
      <c r="H12" s="2">
        <v>0</v>
      </c>
      <c r="I12" s="5">
        <v>522877.56</v>
      </c>
      <c r="J12" s="2" t="s">
        <v>275</v>
      </c>
      <c r="K12" s="1" t="s">
        <v>60</v>
      </c>
      <c r="L12" s="2">
        <v>6.17</v>
      </c>
      <c r="M12" s="2">
        <v>0</v>
      </c>
      <c r="N12" s="5">
        <v>1382929.37</v>
      </c>
      <c r="O12" s="2" t="s">
        <v>283</v>
      </c>
      <c r="P12" s="1" t="s">
        <v>66</v>
      </c>
      <c r="Q12" s="2">
        <v>5.96</v>
      </c>
      <c r="R12" s="2">
        <v>6.0000000000000001E-3</v>
      </c>
      <c r="S12" s="5">
        <v>3238918.35</v>
      </c>
      <c r="T12" s="2" t="s">
        <v>283</v>
      </c>
      <c r="U12" s="1" t="s">
        <v>72</v>
      </c>
      <c r="V12" s="2">
        <v>5.68</v>
      </c>
      <c r="W12" s="2">
        <v>4.8000000000000001E-2</v>
      </c>
      <c r="X12" s="5">
        <v>10073954.85</v>
      </c>
      <c r="Y12" s="2" t="s">
        <v>283</v>
      </c>
      <c r="Z12" s="1" t="s">
        <v>79</v>
      </c>
      <c r="AA12" s="2">
        <v>5.35</v>
      </c>
      <c r="AB12" s="2">
        <v>9.8000000000000004E-2</v>
      </c>
      <c r="AC12" s="5">
        <v>38370724.549999997</v>
      </c>
      <c r="AD12" s="2" t="s">
        <v>283</v>
      </c>
      <c r="AE12" s="1" t="s">
        <v>86</v>
      </c>
      <c r="AF12" s="2">
        <v>5.0599999999999996</v>
      </c>
      <c r="AG12" s="2">
        <v>0.14099999999999999</v>
      </c>
      <c r="AH12" s="5">
        <v>124279643.84</v>
      </c>
      <c r="AI12" s="2" t="s">
        <v>284</v>
      </c>
      <c r="AJ12" s="1" t="s">
        <v>93</v>
      </c>
      <c r="AK12" s="2">
        <v>4.79</v>
      </c>
      <c r="AL12" s="2">
        <v>0.182</v>
      </c>
      <c r="AM12" s="2">
        <v>371193190.04000002</v>
      </c>
      <c r="AN12" s="2" t="s">
        <v>284</v>
      </c>
      <c r="AO12" s="1" t="s">
        <v>100</v>
      </c>
      <c r="AP12" s="2">
        <v>4.51</v>
      </c>
      <c r="AQ12" s="2">
        <v>0.224</v>
      </c>
      <c r="AR12" s="2">
        <v>1154516116.9200001</v>
      </c>
      <c r="AS12" s="8" t="s">
        <v>284</v>
      </c>
      <c r="AT12" s="9"/>
    </row>
    <row r="13" spans="1:46" ht="26.25" x14ac:dyDescent="0.4">
      <c r="A13" s="1" t="s">
        <v>9</v>
      </c>
      <c r="B13" s="2">
        <v>6.6</v>
      </c>
      <c r="C13" s="2">
        <v>0</v>
      </c>
      <c r="D13" s="5">
        <v>168112.5</v>
      </c>
      <c r="E13" s="2" t="s">
        <v>275</v>
      </c>
      <c r="F13" s="1" t="s">
        <v>37</v>
      </c>
      <c r="G13" s="2">
        <v>6.41</v>
      </c>
      <c r="H13" s="2">
        <v>0</v>
      </c>
      <c r="I13" s="5">
        <v>522877.56</v>
      </c>
      <c r="J13" s="2" t="s">
        <v>275</v>
      </c>
      <c r="K13" s="1" t="s">
        <v>111</v>
      </c>
      <c r="L13" s="2">
        <v>6.17</v>
      </c>
      <c r="M13" s="2">
        <v>0</v>
      </c>
      <c r="N13" s="5">
        <v>1382929.37</v>
      </c>
      <c r="O13" s="2" t="s">
        <v>283</v>
      </c>
      <c r="P13" s="1" t="s">
        <v>132</v>
      </c>
      <c r="Q13" s="2">
        <v>5.96</v>
      </c>
      <c r="R13" s="2">
        <v>6.0000000000000001E-3</v>
      </c>
      <c r="S13" s="5">
        <v>3238918.35</v>
      </c>
      <c r="T13" s="2" t="s">
        <v>283</v>
      </c>
      <c r="U13" s="1" t="s">
        <v>153</v>
      </c>
      <c r="V13" s="2">
        <v>5.68</v>
      </c>
      <c r="W13" s="2">
        <v>4.8000000000000001E-2</v>
      </c>
      <c r="X13" s="5">
        <v>10073954.85</v>
      </c>
      <c r="Y13" s="2" t="s">
        <v>283</v>
      </c>
      <c r="Z13" s="1" t="s">
        <v>174</v>
      </c>
      <c r="AA13" s="2">
        <v>5.35</v>
      </c>
      <c r="AB13" s="2">
        <v>9.8000000000000004E-2</v>
      </c>
      <c r="AC13" s="5">
        <v>38370724.549999997</v>
      </c>
      <c r="AD13" s="2" t="s">
        <v>283</v>
      </c>
      <c r="AE13" s="1" t="s">
        <v>195</v>
      </c>
      <c r="AF13" s="2">
        <v>5.0599999999999996</v>
      </c>
      <c r="AG13" s="2">
        <v>0.14099999999999999</v>
      </c>
      <c r="AH13" s="5">
        <v>124279643.84</v>
      </c>
      <c r="AI13" s="2" t="s">
        <v>284</v>
      </c>
      <c r="AJ13" s="1" t="s">
        <v>216</v>
      </c>
      <c r="AK13" s="2">
        <v>4.79</v>
      </c>
      <c r="AL13" s="2">
        <v>0.182</v>
      </c>
      <c r="AM13" s="2">
        <v>371193190.04000002</v>
      </c>
      <c r="AN13" s="2" t="s">
        <v>284</v>
      </c>
      <c r="AO13" s="1" t="s">
        <v>237</v>
      </c>
      <c r="AP13" s="2">
        <v>4.51</v>
      </c>
      <c r="AQ13" s="2">
        <v>0.224</v>
      </c>
      <c r="AR13" s="2">
        <v>1154516116.9200001</v>
      </c>
      <c r="AS13" s="8" t="s">
        <v>284</v>
      </c>
      <c r="AT13" s="9"/>
    </row>
    <row r="14" spans="1:46" ht="26.25" x14ac:dyDescent="0.4">
      <c r="A14" s="1" t="s">
        <v>10</v>
      </c>
      <c r="B14" s="2">
        <v>6.6</v>
      </c>
      <c r="C14" s="2">
        <v>0</v>
      </c>
      <c r="D14" s="5">
        <v>168112.5</v>
      </c>
      <c r="E14" s="2" t="s">
        <v>275</v>
      </c>
      <c r="F14" s="1" t="s">
        <v>38</v>
      </c>
      <c r="G14" s="2">
        <v>6.41</v>
      </c>
      <c r="H14" s="2">
        <v>0</v>
      </c>
      <c r="I14" s="5">
        <v>522877.56</v>
      </c>
      <c r="J14" s="2" t="s">
        <v>275</v>
      </c>
      <c r="K14" s="1" t="s">
        <v>112</v>
      </c>
      <c r="L14" s="2">
        <v>6.17</v>
      </c>
      <c r="M14" s="2">
        <v>0</v>
      </c>
      <c r="N14" s="5">
        <v>1382929.37</v>
      </c>
      <c r="O14" s="2" t="s">
        <v>283</v>
      </c>
      <c r="P14" s="1" t="s">
        <v>133</v>
      </c>
      <c r="Q14" s="2">
        <v>5.96</v>
      </c>
      <c r="R14" s="2">
        <v>6.0000000000000001E-3</v>
      </c>
      <c r="S14" s="5">
        <v>3238918.35</v>
      </c>
      <c r="T14" s="2" t="s">
        <v>283</v>
      </c>
      <c r="U14" s="1" t="s">
        <v>154</v>
      </c>
      <c r="V14" s="2">
        <v>5.68</v>
      </c>
      <c r="W14" s="2">
        <v>4.8000000000000001E-2</v>
      </c>
      <c r="X14" s="5">
        <v>10073954.85</v>
      </c>
      <c r="Y14" s="2" t="s">
        <v>283</v>
      </c>
      <c r="Z14" s="1" t="s">
        <v>175</v>
      </c>
      <c r="AA14" s="2">
        <v>5.35</v>
      </c>
      <c r="AB14" s="2">
        <v>9.8000000000000004E-2</v>
      </c>
      <c r="AC14" s="5">
        <v>38370724.549999997</v>
      </c>
      <c r="AD14" s="2" t="s">
        <v>283</v>
      </c>
      <c r="AE14" s="1" t="s">
        <v>196</v>
      </c>
      <c r="AF14" s="2">
        <v>5.0599999999999996</v>
      </c>
      <c r="AG14" s="2">
        <v>0.14099999999999999</v>
      </c>
      <c r="AH14" s="5">
        <v>124279643.84</v>
      </c>
      <c r="AI14" s="2" t="s">
        <v>284</v>
      </c>
      <c r="AJ14" s="1" t="s">
        <v>217</v>
      </c>
      <c r="AK14" s="2">
        <v>4.79</v>
      </c>
      <c r="AL14" s="2">
        <v>0.182</v>
      </c>
      <c r="AM14" s="2">
        <v>371193190.04000002</v>
      </c>
      <c r="AN14" s="2" t="s">
        <v>284</v>
      </c>
      <c r="AO14" s="1" t="s">
        <v>238</v>
      </c>
      <c r="AP14" s="2">
        <v>4.51</v>
      </c>
      <c r="AQ14" s="2">
        <v>0.224</v>
      </c>
      <c r="AR14" s="2">
        <v>1154516116.9200001</v>
      </c>
      <c r="AS14" s="8" t="s">
        <v>284</v>
      </c>
      <c r="AT14" s="9"/>
    </row>
    <row r="15" spans="1:46" ht="26.25" x14ac:dyDescent="0.4">
      <c r="A15" s="1" t="s">
        <v>11</v>
      </c>
      <c r="B15" s="2">
        <v>6.6</v>
      </c>
      <c r="C15" s="2">
        <v>0</v>
      </c>
      <c r="D15" s="5">
        <v>168112.5</v>
      </c>
      <c r="E15" s="2" t="s">
        <v>275</v>
      </c>
      <c r="F15" s="1" t="s">
        <v>39</v>
      </c>
      <c r="G15" s="2">
        <v>6.41</v>
      </c>
      <c r="H15" s="2">
        <v>0</v>
      </c>
      <c r="I15" s="5">
        <v>522877.56</v>
      </c>
      <c r="J15" s="2" t="s">
        <v>275</v>
      </c>
      <c r="K15" s="1" t="s">
        <v>113</v>
      </c>
      <c r="L15" s="2">
        <v>6.17</v>
      </c>
      <c r="M15" s="2">
        <v>0</v>
      </c>
      <c r="N15" s="5">
        <v>1382929.37</v>
      </c>
      <c r="O15" s="2" t="s">
        <v>283</v>
      </c>
      <c r="P15" s="1" t="s">
        <v>134</v>
      </c>
      <c r="Q15" s="2">
        <v>5.96</v>
      </c>
      <c r="R15" s="2">
        <v>6.0000000000000001E-3</v>
      </c>
      <c r="S15" s="5">
        <v>3238918.35</v>
      </c>
      <c r="T15" s="2" t="s">
        <v>283</v>
      </c>
      <c r="U15" s="1" t="s">
        <v>155</v>
      </c>
      <c r="V15" s="2">
        <v>5.68</v>
      </c>
      <c r="W15" s="2">
        <v>4.8000000000000001E-2</v>
      </c>
      <c r="X15" s="5">
        <v>10073954.85</v>
      </c>
      <c r="Y15" s="2" t="s">
        <v>283</v>
      </c>
      <c r="Z15" s="1" t="s">
        <v>176</v>
      </c>
      <c r="AA15" s="2">
        <v>5.35</v>
      </c>
      <c r="AB15" s="2">
        <v>9.8000000000000004E-2</v>
      </c>
      <c r="AC15" s="5">
        <v>38370724.549999997</v>
      </c>
      <c r="AD15" s="2" t="s">
        <v>283</v>
      </c>
      <c r="AE15" s="1" t="s">
        <v>197</v>
      </c>
      <c r="AF15" s="2">
        <v>5.0599999999999996</v>
      </c>
      <c r="AG15" s="2">
        <v>0.14099999999999999</v>
      </c>
      <c r="AH15" s="5">
        <v>124279643.84</v>
      </c>
      <c r="AI15" s="2" t="s">
        <v>284</v>
      </c>
      <c r="AJ15" s="1" t="s">
        <v>218</v>
      </c>
      <c r="AK15" s="2">
        <v>4.79</v>
      </c>
      <c r="AL15" s="2">
        <v>0.182</v>
      </c>
      <c r="AM15" s="2">
        <v>371193190.04000002</v>
      </c>
      <c r="AN15" s="2" t="s">
        <v>284</v>
      </c>
      <c r="AO15" s="1" t="s">
        <v>239</v>
      </c>
      <c r="AP15" s="2">
        <v>4.51</v>
      </c>
      <c r="AQ15" s="2">
        <v>0.224</v>
      </c>
      <c r="AR15" s="2">
        <v>1154516116.9200001</v>
      </c>
      <c r="AS15" s="8" t="s">
        <v>284</v>
      </c>
      <c r="AT15" s="9"/>
    </row>
    <row r="16" spans="1:46" ht="26.25" x14ac:dyDescent="0.4">
      <c r="A16" s="1" t="s">
        <v>12</v>
      </c>
      <c r="B16" s="2">
        <v>6.59</v>
      </c>
      <c r="C16" s="2">
        <v>0</v>
      </c>
      <c r="D16" s="5">
        <v>182305.6</v>
      </c>
      <c r="E16" s="2" t="s">
        <v>275</v>
      </c>
      <c r="F16" s="1" t="s">
        <v>40</v>
      </c>
      <c r="G16" s="2">
        <v>6.39</v>
      </c>
      <c r="H16" s="2">
        <v>0</v>
      </c>
      <c r="I16" s="5">
        <v>567022.12</v>
      </c>
      <c r="J16" s="2" t="s">
        <v>275</v>
      </c>
      <c r="K16" s="1" t="s">
        <v>61</v>
      </c>
      <c r="L16" s="2">
        <v>6.21</v>
      </c>
      <c r="M16" s="2">
        <v>0</v>
      </c>
      <c r="N16" s="5">
        <v>1175980.17</v>
      </c>
      <c r="O16" s="2" t="s">
        <v>283</v>
      </c>
      <c r="P16" s="1" t="s">
        <v>67</v>
      </c>
      <c r="Q16" s="2">
        <v>5.99</v>
      </c>
      <c r="R16" s="2">
        <v>2E-3</v>
      </c>
      <c r="S16" s="5">
        <v>2868137.71</v>
      </c>
      <c r="T16" s="2" t="s">
        <v>283</v>
      </c>
      <c r="U16" s="1" t="s">
        <v>73</v>
      </c>
      <c r="V16" s="2">
        <v>5.75</v>
      </c>
      <c r="W16" s="2">
        <v>3.7999999999999999E-2</v>
      </c>
      <c r="X16" s="5">
        <v>7585775.75</v>
      </c>
      <c r="Y16" s="2" t="s">
        <v>283</v>
      </c>
      <c r="Z16" s="1" t="s">
        <v>80</v>
      </c>
      <c r="AA16" s="2">
        <v>5.37</v>
      </c>
      <c r="AB16" s="2">
        <v>9.5000000000000001E-2</v>
      </c>
      <c r="AC16" s="5">
        <v>35383435.68</v>
      </c>
      <c r="AD16" s="2" t="s">
        <v>283</v>
      </c>
      <c r="AE16" s="1" t="s">
        <v>87</v>
      </c>
      <c r="AF16" s="2">
        <v>5.08</v>
      </c>
      <c r="AG16" s="2">
        <v>0.13800000000000001</v>
      </c>
      <c r="AH16" s="5">
        <v>114604059.11</v>
      </c>
      <c r="AI16" s="2" t="s">
        <v>284</v>
      </c>
      <c r="AJ16" s="1" t="s">
        <v>94</v>
      </c>
      <c r="AK16" s="2">
        <v>4.78</v>
      </c>
      <c r="AL16" s="2">
        <v>0.183</v>
      </c>
      <c r="AM16" s="2">
        <v>386544946.60000002</v>
      </c>
      <c r="AN16" s="2" t="s">
        <v>284</v>
      </c>
      <c r="AO16" s="1" t="s">
        <v>101</v>
      </c>
      <c r="AP16" s="2">
        <v>4.5199999999999996</v>
      </c>
      <c r="AQ16" s="2">
        <v>0.222</v>
      </c>
      <c r="AR16" s="2">
        <v>1108664138.98</v>
      </c>
      <c r="AS16" s="8" t="s">
        <v>284</v>
      </c>
      <c r="AT16" s="9"/>
    </row>
    <row r="17" spans="1:46" ht="26.25" x14ac:dyDescent="0.4">
      <c r="A17" s="1" t="s">
        <v>13</v>
      </c>
      <c r="B17" s="2">
        <v>6.59</v>
      </c>
      <c r="C17" s="2">
        <v>0</v>
      </c>
      <c r="D17" s="5">
        <v>182305.6</v>
      </c>
      <c r="E17" s="2" t="s">
        <v>275</v>
      </c>
      <c r="F17" s="1" t="s">
        <v>41</v>
      </c>
      <c r="G17" s="2">
        <v>6.39</v>
      </c>
      <c r="H17" s="2">
        <v>0</v>
      </c>
      <c r="I17" s="5">
        <v>567022.12</v>
      </c>
      <c r="J17" s="2" t="s">
        <v>275</v>
      </c>
      <c r="K17" s="1" t="s">
        <v>114</v>
      </c>
      <c r="L17" s="2">
        <v>6.21</v>
      </c>
      <c r="M17" s="2">
        <v>0</v>
      </c>
      <c r="N17" s="5">
        <v>1175980.17</v>
      </c>
      <c r="O17" s="2" t="s">
        <v>283</v>
      </c>
      <c r="P17" s="1" t="s">
        <v>135</v>
      </c>
      <c r="Q17" s="2">
        <v>5.99</v>
      </c>
      <c r="R17" s="2">
        <v>2E-3</v>
      </c>
      <c r="S17" s="5">
        <v>2868137.71</v>
      </c>
      <c r="T17" s="2" t="s">
        <v>283</v>
      </c>
      <c r="U17" s="1" t="s">
        <v>156</v>
      </c>
      <c r="V17" s="2">
        <v>5.75</v>
      </c>
      <c r="W17" s="2">
        <v>3.7999999999999999E-2</v>
      </c>
      <c r="X17" s="5">
        <v>7585775.75</v>
      </c>
      <c r="Y17" s="2" t="s">
        <v>283</v>
      </c>
      <c r="Z17" s="1" t="s">
        <v>177</v>
      </c>
      <c r="AA17" s="2">
        <v>5.37</v>
      </c>
      <c r="AB17" s="2">
        <v>9.5000000000000001E-2</v>
      </c>
      <c r="AC17" s="5">
        <v>35383435.68</v>
      </c>
      <c r="AD17" s="2" t="s">
        <v>283</v>
      </c>
      <c r="AE17" s="1" t="s">
        <v>198</v>
      </c>
      <c r="AF17" s="2">
        <v>5.08</v>
      </c>
      <c r="AG17" s="2">
        <v>0.13800000000000001</v>
      </c>
      <c r="AH17" s="5">
        <v>114604059.11</v>
      </c>
      <c r="AI17" s="2" t="s">
        <v>284</v>
      </c>
      <c r="AJ17" s="1" t="s">
        <v>219</v>
      </c>
      <c r="AK17" s="2">
        <v>4.78</v>
      </c>
      <c r="AL17" s="2">
        <v>0.183</v>
      </c>
      <c r="AM17" s="2">
        <v>386544946.60000002</v>
      </c>
      <c r="AN17" s="2" t="s">
        <v>284</v>
      </c>
      <c r="AO17" s="1" t="s">
        <v>240</v>
      </c>
      <c r="AP17" s="2">
        <v>4.5199999999999996</v>
      </c>
      <c r="AQ17" s="2">
        <v>0.222</v>
      </c>
      <c r="AR17" s="2">
        <v>1108664138.98</v>
      </c>
      <c r="AS17" s="8" t="s">
        <v>284</v>
      </c>
      <c r="AT17" s="9"/>
    </row>
    <row r="18" spans="1:46" ht="26.25" x14ac:dyDescent="0.4">
      <c r="A18" s="1" t="s">
        <v>14</v>
      </c>
      <c r="B18" s="2">
        <v>6.59</v>
      </c>
      <c r="C18" s="2">
        <v>0</v>
      </c>
      <c r="D18" s="5">
        <v>182305.6</v>
      </c>
      <c r="E18" s="2" t="s">
        <v>275</v>
      </c>
      <c r="F18" s="1" t="s">
        <v>42</v>
      </c>
      <c r="G18" s="2">
        <v>6.39</v>
      </c>
      <c r="H18" s="2">
        <v>0</v>
      </c>
      <c r="I18" s="5">
        <v>567022.12</v>
      </c>
      <c r="J18" s="2" t="s">
        <v>275</v>
      </c>
      <c r="K18" s="1" t="s">
        <v>115</v>
      </c>
      <c r="L18" s="2">
        <v>6.21</v>
      </c>
      <c r="M18" s="2">
        <v>0</v>
      </c>
      <c r="N18" s="5">
        <v>1175980.17</v>
      </c>
      <c r="O18" s="2" t="s">
        <v>283</v>
      </c>
      <c r="P18" s="1" t="s">
        <v>136</v>
      </c>
      <c r="Q18" s="2">
        <v>5.99</v>
      </c>
      <c r="R18" s="2">
        <v>2E-3</v>
      </c>
      <c r="S18" s="5">
        <v>2868137.71</v>
      </c>
      <c r="T18" s="2" t="s">
        <v>283</v>
      </c>
      <c r="U18" s="1" t="s">
        <v>157</v>
      </c>
      <c r="V18" s="2">
        <v>5.75</v>
      </c>
      <c r="W18" s="2">
        <v>3.7999999999999999E-2</v>
      </c>
      <c r="X18" s="5">
        <v>7585775.75</v>
      </c>
      <c r="Y18" s="2" t="s">
        <v>283</v>
      </c>
      <c r="Z18" s="1" t="s">
        <v>178</v>
      </c>
      <c r="AA18" s="2">
        <v>5.37</v>
      </c>
      <c r="AB18" s="2">
        <v>9.5000000000000001E-2</v>
      </c>
      <c r="AC18" s="5">
        <v>35383435.68</v>
      </c>
      <c r="AD18" s="2" t="s">
        <v>283</v>
      </c>
      <c r="AE18" s="1" t="s">
        <v>199</v>
      </c>
      <c r="AF18" s="2">
        <v>5.08</v>
      </c>
      <c r="AG18" s="2">
        <v>0.13800000000000001</v>
      </c>
      <c r="AH18" s="5">
        <v>114604059.11</v>
      </c>
      <c r="AI18" s="2" t="s">
        <v>284</v>
      </c>
      <c r="AJ18" s="1" t="s">
        <v>220</v>
      </c>
      <c r="AK18" s="2">
        <v>4.78</v>
      </c>
      <c r="AL18" s="2">
        <v>0.183</v>
      </c>
      <c r="AM18" s="2">
        <v>386544946.60000002</v>
      </c>
      <c r="AN18" s="2" t="s">
        <v>284</v>
      </c>
      <c r="AO18" s="1" t="s">
        <v>241</v>
      </c>
      <c r="AP18" s="2">
        <v>4.5199999999999996</v>
      </c>
      <c r="AQ18" s="2">
        <v>0.222</v>
      </c>
      <c r="AR18" s="2">
        <v>1108664138.98</v>
      </c>
      <c r="AS18" s="8" t="s">
        <v>284</v>
      </c>
      <c r="AT18" s="9"/>
    </row>
    <row r="19" spans="1:46" ht="26.25" x14ac:dyDescent="0.4">
      <c r="A19" s="1" t="s">
        <v>15</v>
      </c>
      <c r="B19" s="2">
        <v>6.59</v>
      </c>
      <c r="C19" s="2">
        <v>0</v>
      </c>
      <c r="D19" s="5">
        <v>182305.6</v>
      </c>
      <c r="E19" s="2" t="s">
        <v>275</v>
      </c>
      <c r="F19" s="1" t="s">
        <v>43</v>
      </c>
      <c r="G19" s="2">
        <v>6.39</v>
      </c>
      <c r="H19" s="2">
        <v>0</v>
      </c>
      <c r="I19" s="5">
        <v>567022.12</v>
      </c>
      <c r="J19" s="2" t="s">
        <v>275</v>
      </c>
      <c r="K19" s="1" t="s">
        <v>116</v>
      </c>
      <c r="L19" s="2">
        <v>6.21</v>
      </c>
      <c r="M19" s="2">
        <v>0</v>
      </c>
      <c r="N19" s="5">
        <v>1175980.17</v>
      </c>
      <c r="O19" s="2" t="s">
        <v>283</v>
      </c>
      <c r="P19" s="1" t="s">
        <v>137</v>
      </c>
      <c r="Q19" s="2">
        <v>5.99</v>
      </c>
      <c r="R19" s="2">
        <v>2E-3</v>
      </c>
      <c r="S19" s="5">
        <v>2868137.71</v>
      </c>
      <c r="T19" s="2" t="s">
        <v>283</v>
      </c>
      <c r="U19" s="1" t="s">
        <v>158</v>
      </c>
      <c r="V19" s="2">
        <v>5.75</v>
      </c>
      <c r="W19" s="2">
        <v>3.7999999999999999E-2</v>
      </c>
      <c r="X19" s="5">
        <v>7585775.75</v>
      </c>
      <c r="Y19" s="2" t="s">
        <v>283</v>
      </c>
      <c r="Z19" s="1" t="s">
        <v>179</v>
      </c>
      <c r="AA19" s="2">
        <v>5.37</v>
      </c>
      <c r="AB19" s="2">
        <v>9.5000000000000001E-2</v>
      </c>
      <c r="AC19" s="5">
        <v>35383435.68</v>
      </c>
      <c r="AD19" s="2" t="s">
        <v>283</v>
      </c>
      <c r="AE19" s="1" t="s">
        <v>200</v>
      </c>
      <c r="AF19" s="2">
        <v>5.08</v>
      </c>
      <c r="AG19" s="2">
        <v>0.13800000000000001</v>
      </c>
      <c r="AH19" s="5">
        <v>114604059.11</v>
      </c>
      <c r="AI19" s="2" t="s">
        <v>284</v>
      </c>
      <c r="AJ19" s="1" t="s">
        <v>221</v>
      </c>
      <c r="AK19" s="2">
        <v>4.78</v>
      </c>
      <c r="AL19" s="2">
        <v>0.183</v>
      </c>
      <c r="AM19" s="2">
        <v>386544946.60000002</v>
      </c>
      <c r="AN19" s="2" t="s">
        <v>284</v>
      </c>
      <c r="AO19" s="1" t="s">
        <v>242</v>
      </c>
      <c r="AP19" s="2">
        <v>4.5199999999999996</v>
      </c>
      <c r="AQ19" s="2">
        <v>0.222</v>
      </c>
      <c r="AR19" s="2">
        <v>1108664138.98</v>
      </c>
      <c r="AS19" s="8" t="s">
        <v>284</v>
      </c>
      <c r="AT19" s="9"/>
    </row>
    <row r="20" spans="1:46" ht="26.25" x14ac:dyDescent="0.4">
      <c r="A20" s="1" t="s">
        <v>16</v>
      </c>
      <c r="B20" s="2">
        <v>6.53</v>
      </c>
      <c r="C20" s="2">
        <v>0</v>
      </c>
      <c r="D20" s="5">
        <v>205873.29</v>
      </c>
      <c r="E20" s="2" t="s">
        <v>275</v>
      </c>
      <c r="F20" s="1" t="s">
        <v>44</v>
      </c>
      <c r="G20" s="2">
        <v>6.39</v>
      </c>
      <c r="H20" s="2">
        <v>0</v>
      </c>
      <c r="I20" s="5">
        <v>617022.12</v>
      </c>
      <c r="J20" s="2" t="s">
        <v>275</v>
      </c>
      <c r="K20" s="1" t="s">
        <v>62</v>
      </c>
      <c r="L20" s="2">
        <v>6.18</v>
      </c>
      <c r="M20" s="2">
        <v>0</v>
      </c>
      <c r="N20" s="5">
        <v>1328005.8899999999</v>
      </c>
      <c r="O20" s="2" t="s">
        <v>283</v>
      </c>
      <c r="P20" s="1" t="s">
        <v>68</v>
      </c>
      <c r="Q20" s="2">
        <v>6</v>
      </c>
      <c r="R20" s="2">
        <v>0</v>
      </c>
      <c r="S20" s="5">
        <v>2754228.7</v>
      </c>
      <c r="T20" s="2" t="s">
        <v>283</v>
      </c>
      <c r="U20" s="1" t="s">
        <v>74</v>
      </c>
      <c r="V20" s="2">
        <v>5.7</v>
      </c>
      <c r="W20" s="2">
        <v>4.4999999999999998E-2</v>
      </c>
      <c r="X20" s="5">
        <v>9289663.8699999992</v>
      </c>
      <c r="Y20" s="2" t="s">
        <v>283</v>
      </c>
      <c r="Z20" s="1" t="s">
        <v>81</v>
      </c>
      <c r="AA20" s="2">
        <v>5.4</v>
      </c>
      <c r="AB20" s="2">
        <v>0.09</v>
      </c>
      <c r="AC20" s="5">
        <v>31332857.239999998</v>
      </c>
      <c r="AD20" s="2" t="s">
        <v>283</v>
      </c>
      <c r="AE20" s="1" t="s">
        <v>88</v>
      </c>
      <c r="AF20" s="2">
        <v>5.09</v>
      </c>
      <c r="AG20" s="2">
        <v>0.13700000000000001</v>
      </c>
      <c r="AH20" s="5">
        <v>110052522.14</v>
      </c>
      <c r="AI20" s="2" t="s">
        <v>284</v>
      </c>
      <c r="AJ20" s="1" t="s">
        <v>95</v>
      </c>
      <c r="AK20" s="2">
        <v>4.82</v>
      </c>
      <c r="AL20" s="2">
        <v>0.17699999999999999</v>
      </c>
      <c r="AM20" s="2">
        <v>328700223.97000003</v>
      </c>
      <c r="AN20" s="2" t="s">
        <v>284</v>
      </c>
      <c r="AO20" s="1" t="s">
        <v>102</v>
      </c>
      <c r="AP20" s="2">
        <v>4.49</v>
      </c>
      <c r="AQ20" s="2">
        <v>0.22700000000000001</v>
      </c>
      <c r="AR20" s="2">
        <v>1251987520.6199999</v>
      </c>
      <c r="AS20" s="8" t="s">
        <v>284</v>
      </c>
      <c r="AT20" s="9"/>
    </row>
    <row r="21" spans="1:46" ht="26.25" x14ac:dyDescent="0.4">
      <c r="A21" s="1" t="s">
        <v>17</v>
      </c>
      <c r="B21" s="2">
        <v>6.53</v>
      </c>
      <c r="C21" s="2">
        <v>0</v>
      </c>
      <c r="D21" s="5">
        <v>205873.29</v>
      </c>
      <c r="E21" s="2" t="s">
        <v>275</v>
      </c>
      <c r="F21" s="1" t="s">
        <v>45</v>
      </c>
      <c r="G21" s="2">
        <v>6.39</v>
      </c>
      <c r="H21" s="2">
        <v>0</v>
      </c>
      <c r="I21" s="5">
        <v>617022.12</v>
      </c>
      <c r="J21" s="2" t="s">
        <v>275</v>
      </c>
      <c r="K21" s="1" t="s">
        <v>117</v>
      </c>
      <c r="L21" s="2">
        <v>6.18</v>
      </c>
      <c r="M21" s="2">
        <v>0</v>
      </c>
      <c r="N21" s="5">
        <v>1328005.8899999999</v>
      </c>
      <c r="O21" s="2" t="s">
        <v>283</v>
      </c>
      <c r="P21" s="1" t="s">
        <v>138</v>
      </c>
      <c r="Q21" s="2">
        <v>6</v>
      </c>
      <c r="R21" s="2">
        <v>0</v>
      </c>
      <c r="S21" s="5">
        <v>2754228.7</v>
      </c>
      <c r="T21" s="2" t="s">
        <v>283</v>
      </c>
      <c r="U21" s="1" t="s">
        <v>159</v>
      </c>
      <c r="V21" s="2">
        <v>5.7</v>
      </c>
      <c r="W21" s="2">
        <v>4.4999999999999998E-2</v>
      </c>
      <c r="X21" s="5">
        <v>9289663.8699999992</v>
      </c>
      <c r="Y21" s="2" t="s">
        <v>283</v>
      </c>
      <c r="Z21" s="1" t="s">
        <v>180</v>
      </c>
      <c r="AA21" s="2">
        <v>5.4</v>
      </c>
      <c r="AB21" s="2">
        <v>0.09</v>
      </c>
      <c r="AC21" s="5">
        <v>31332857.239999998</v>
      </c>
      <c r="AD21" s="2" t="s">
        <v>283</v>
      </c>
      <c r="AE21" s="1" t="s">
        <v>201</v>
      </c>
      <c r="AF21" s="2">
        <v>5.09</v>
      </c>
      <c r="AG21" s="2">
        <v>0.13700000000000001</v>
      </c>
      <c r="AH21" s="5">
        <v>110052522.14</v>
      </c>
      <c r="AI21" s="2" t="s">
        <v>284</v>
      </c>
      <c r="AJ21" s="1" t="s">
        <v>222</v>
      </c>
      <c r="AK21" s="2">
        <v>4.82</v>
      </c>
      <c r="AL21" s="2">
        <v>0.17699999999999999</v>
      </c>
      <c r="AM21" s="2">
        <v>328700223.97000003</v>
      </c>
      <c r="AN21" s="2" t="s">
        <v>284</v>
      </c>
      <c r="AO21" s="1" t="s">
        <v>243</v>
      </c>
      <c r="AP21" s="2">
        <v>4.49</v>
      </c>
      <c r="AQ21" s="2">
        <v>0.22700000000000001</v>
      </c>
      <c r="AR21" s="2">
        <v>1251987520.6199999</v>
      </c>
      <c r="AS21" s="8" t="s">
        <v>284</v>
      </c>
      <c r="AT21" s="9"/>
    </row>
    <row r="22" spans="1:46" ht="26.25" x14ac:dyDescent="0.4">
      <c r="A22" s="1" t="s">
        <v>18</v>
      </c>
      <c r="B22" s="2">
        <v>6.53</v>
      </c>
      <c r="C22" s="2">
        <v>0</v>
      </c>
      <c r="D22" s="5">
        <v>205873.29</v>
      </c>
      <c r="E22" s="2" t="s">
        <v>275</v>
      </c>
      <c r="F22" s="1" t="s">
        <v>46</v>
      </c>
      <c r="G22" s="2">
        <v>6.39</v>
      </c>
      <c r="H22" s="2">
        <v>0</v>
      </c>
      <c r="I22" s="5">
        <v>617022.12</v>
      </c>
      <c r="J22" s="2" t="s">
        <v>275</v>
      </c>
      <c r="K22" s="1" t="s">
        <v>118</v>
      </c>
      <c r="L22" s="2">
        <v>6.18</v>
      </c>
      <c r="M22" s="2">
        <v>0</v>
      </c>
      <c r="N22" s="5">
        <v>1328005.8899999999</v>
      </c>
      <c r="O22" s="2" t="s">
        <v>283</v>
      </c>
      <c r="P22" s="1" t="s">
        <v>139</v>
      </c>
      <c r="Q22" s="2">
        <v>6</v>
      </c>
      <c r="R22" s="2">
        <v>0</v>
      </c>
      <c r="S22" s="5">
        <v>2754228.7</v>
      </c>
      <c r="T22" s="2" t="s">
        <v>283</v>
      </c>
      <c r="U22" s="1" t="s">
        <v>160</v>
      </c>
      <c r="V22" s="2">
        <v>5.7</v>
      </c>
      <c r="W22" s="2">
        <v>4.4999999999999998E-2</v>
      </c>
      <c r="X22" s="5">
        <v>9289663.8699999992</v>
      </c>
      <c r="Y22" s="2" t="s">
        <v>283</v>
      </c>
      <c r="Z22" s="1" t="s">
        <v>181</v>
      </c>
      <c r="AA22" s="2">
        <v>5.4</v>
      </c>
      <c r="AB22" s="2">
        <v>0.09</v>
      </c>
      <c r="AC22" s="5">
        <v>31332857.239999998</v>
      </c>
      <c r="AD22" s="2" t="s">
        <v>283</v>
      </c>
      <c r="AE22" s="1" t="s">
        <v>202</v>
      </c>
      <c r="AF22" s="2">
        <v>5.09</v>
      </c>
      <c r="AG22" s="2">
        <v>0.13700000000000001</v>
      </c>
      <c r="AH22" s="5">
        <v>110052522.14</v>
      </c>
      <c r="AI22" s="2" t="s">
        <v>284</v>
      </c>
      <c r="AJ22" s="1" t="s">
        <v>223</v>
      </c>
      <c r="AK22" s="2">
        <v>4.82</v>
      </c>
      <c r="AL22" s="2">
        <v>0.17699999999999999</v>
      </c>
      <c r="AM22" s="2">
        <v>328700223.97000003</v>
      </c>
      <c r="AN22" s="2" t="s">
        <v>284</v>
      </c>
      <c r="AO22" s="1" t="s">
        <v>244</v>
      </c>
      <c r="AP22" s="2">
        <v>4.49</v>
      </c>
      <c r="AQ22" s="2">
        <v>0.22700000000000001</v>
      </c>
      <c r="AR22" s="2">
        <v>1251987520.6199999</v>
      </c>
      <c r="AS22" s="8" t="s">
        <v>284</v>
      </c>
      <c r="AT22" s="9"/>
    </row>
    <row r="23" spans="1:46" ht="26.25" x14ac:dyDescent="0.4">
      <c r="A23" s="1" t="s">
        <v>19</v>
      </c>
      <c r="B23" s="2">
        <v>6.53</v>
      </c>
      <c r="C23" s="2">
        <v>0</v>
      </c>
      <c r="D23" s="5">
        <v>205873.29</v>
      </c>
      <c r="E23" s="2" t="s">
        <v>275</v>
      </c>
      <c r="F23" s="1" t="s">
        <v>47</v>
      </c>
      <c r="G23" s="2">
        <v>6.39</v>
      </c>
      <c r="H23" s="2">
        <v>0</v>
      </c>
      <c r="I23" s="5">
        <v>617022.12</v>
      </c>
      <c r="J23" s="2" t="s">
        <v>275</v>
      </c>
      <c r="K23" s="1" t="s">
        <v>119</v>
      </c>
      <c r="L23" s="2">
        <v>6.18</v>
      </c>
      <c r="M23" s="2">
        <v>0</v>
      </c>
      <c r="N23" s="5">
        <v>1328005.8899999999</v>
      </c>
      <c r="O23" s="2" t="s">
        <v>283</v>
      </c>
      <c r="P23" s="1" t="s">
        <v>140</v>
      </c>
      <c r="Q23" s="2">
        <v>6</v>
      </c>
      <c r="R23" s="2">
        <v>0</v>
      </c>
      <c r="S23" s="5">
        <v>2754228.7</v>
      </c>
      <c r="T23" s="2" t="s">
        <v>283</v>
      </c>
      <c r="U23" s="1" t="s">
        <v>161</v>
      </c>
      <c r="V23" s="2">
        <v>5.7</v>
      </c>
      <c r="W23" s="2">
        <v>4.4999999999999998E-2</v>
      </c>
      <c r="X23" s="5">
        <v>9289663.8699999992</v>
      </c>
      <c r="Y23" s="2" t="s">
        <v>283</v>
      </c>
      <c r="Z23" s="1" t="s">
        <v>182</v>
      </c>
      <c r="AA23" s="2">
        <v>5.4</v>
      </c>
      <c r="AB23" s="2">
        <v>0.09</v>
      </c>
      <c r="AC23" s="5">
        <v>31332857.239999998</v>
      </c>
      <c r="AD23" s="2" t="s">
        <v>283</v>
      </c>
      <c r="AE23" s="1" t="s">
        <v>203</v>
      </c>
      <c r="AF23" s="2">
        <v>5.09</v>
      </c>
      <c r="AG23" s="2">
        <v>0.13700000000000001</v>
      </c>
      <c r="AH23" s="5">
        <v>110052522.14</v>
      </c>
      <c r="AI23" s="2" t="s">
        <v>284</v>
      </c>
      <c r="AJ23" s="1" t="s">
        <v>224</v>
      </c>
      <c r="AK23" s="2">
        <v>4.82</v>
      </c>
      <c r="AL23" s="2">
        <v>0.17699999999999999</v>
      </c>
      <c r="AM23" s="2">
        <v>328700223.97000003</v>
      </c>
      <c r="AN23" s="2" t="s">
        <v>284</v>
      </c>
      <c r="AO23" s="1" t="s">
        <v>245</v>
      </c>
      <c r="AP23" s="2">
        <v>4.49</v>
      </c>
      <c r="AQ23" s="2">
        <v>0.22700000000000001</v>
      </c>
      <c r="AR23" s="2">
        <v>1251987520.6199999</v>
      </c>
      <c r="AS23" s="8" t="s">
        <v>284</v>
      </c>
      <c r="AT23" s="9"/>
    </row>
    <row r="24" spans="1:46" ht="26.25" x14ac:dyDescent="0.4">
      <c r="A24" s="1" t="s">
        <v>20</v>
      </c>
      <c r="B24" s="2">
        <v>6.57</v>
      </c>
      <c r="C24" s="2">
        <v>0</v>
      </c>
      <c r="D24" s="5">
        <v>197696.96</v>
      </c>
      <c r="E24" s="2" t="s">
        <v>275</v>
      </c>
      <c r="F24" s="1" t="s">
        <v>48</v>
      </c>
      <c r="G24" s="2">
        <v>6.41</v>
      </c>
      <c r="H24" s="2">
        <v>0</v>
      </c>
      <c r="I24" s="5">
        <v>502877.56</v>
      </c>
      <c r="J24" s="2" t="s">
        <v>275</v>
      </c>
      <c r="K24" s="1" t="s">
        <v>63</v>
      </c>
      <c r="L24" s="2">
        <v>6.16</v>
      </c>
      <c r="M24" s="2">
        <v>0</v>
      </c>
      <c r="N24" s="5">
        <v>1440124.37</v>
      </c>
      <c r="O24" s="2" t="s">
        <v>283</v>
      </c>
      <c r="P24" s="1" t="s">
        <v>69</v>
      </c>
      <c r="Q24" s="2">
        <v>5.97</v>
      </c>
      <c r="R24" s="2">
        <v>5.0000000000000001E-3</v>
      </c>
      <c r="S24" s="5">
        <v>3110283.67</v>
      </c>
      <c r="T24" s="2" t="s">
        <v>283</v>
      </c>
      <c r="U24" s="1" t="s">
        <v>75</v>
      </c>
      <c r="V24" s="2">
        <v>5.67</v>
      </c>
      <c r="W24" s="2">
        <v>0.05</v>
      </c>
      <c r="X24" s="5">
        <v>10490592.08</v>
      </c>
      <c r="Y24" s="2" t="s">
        <v>283</v>
      </c>
      <c r="Z24" s="1" t="s">
        <v>82</v>
      </c>
      <c r="AA24" s="2">
        <v>5.42</v>
      </c>
      <c r="AB24" s="2">
        <v>8.6999999999999994E-2</v>
      </c>
      <c r="AC24" s="5">
        <v>28893489.82</v>
      </c>
      <c r="AD24" s="2" t="s">
        <v>283</v>
      </c>
      <c r="AE24" s="1" t="s">
        <v>89</v>
      </c>
      <c r="AF24" s="2">
        <v>5.13</v>
      </c>
      <c r="AG24" s="2">
        <v>0.13100000000000001</v>
      </c>
      <c r="AH24" s="5">
        <v>93583654.359999999</v>
      </c>
      <c r="AI24" s="2" t="s">
        <v>284</v>
      </c>
      <c r="AJ24" s="1" t="s">
        <v>96</v>
      </c>
      <c r="AK24" s="2">
        <v>4.83</v>
      </c>
      <c r="AL24" s="2">
        <v>0.17599999999999999</v>
      </c>
      <c r="AM24" s="2">
        <v>315645789.13</v>
      </c>
      <c r="AN24" s="2" t="s">
        <v>284</v>
      </c>
      <c r="AO24" s="1" t="s">
        <v>103</v>
      </c>
      <c r="AP24" s="2">
        <v>4.5</v>
      </c>
      <c r="AQ24" s="2">
        <v>0.22500000000000001</v>
      </c>
      <c r="AR24" s="2">
        <v>1202264434.6199999</v>
      </c>
      <c r="AS24" s="8" t="s">
        <v>284</v>
      </c>
      <c r="AT24" s="9"/>
    </row>
    <row r="25" spans="1:46" ht="26.25" x14ac:dyDescent="0.4">
      <c r="A25" s="1" t="s">
        <v>21</v>
      </c>
      <c r="B25" s="2">
        <v>6.57</v>
      </c>
      <c r="C25" s="2">
        <v>0</v>
      </c>
      <c r="D25" s="5">
        <v>197696.96</v>
      </c>
      <c r="E25" s="2" t="s">
        <v>275</v>
      </c>
      <c r="F25" s="1" t="s">
        <v>49</v>
      </c>
      <c r="G25" s="2">
        <v>6.41</v>
      </c>
      <c r="H25" s="2">
        <v>0</v>
      </c>
      <c r="I25" s="5">
        <v>502877.56</v>
      </c>
      <c r="J25" s="2" t="s">
        <v>275</v>
      </c>
      <c r="K25" s="1" t="s">
        <v>120</v>
      </c>
      <c r="L25" s="2">
        <v>6.16</v>
      </c>
      <c r="M25" s="2">
        <v>0</v>
      </c>
      <c r="N25" s="5">
        <v>1440124.37</v>
      </c>
      <c r="O25" s="2" t="s">
        <v>283</v>
      </c>
      <c r="P25" s="1" t="s">
        <v>141</v>
      </c>
      <c r="Q25" s="2">
        <v>5.97</v>
      </c>
      <c r="R25" s="2">
        <v>5.0000000000000001E-3</v>
      </c>
      <c r="S25" s="5">
        <v>3110283.67</v>
      </c>
      <c r="T25" s="2" t="s">
        <v>283</v>
      </c>
      <c r="U25" s="1" t="s">
        <v>162</v>
      </c>
      <c r="V25" s="2">
        <v>5.67</v>
      </c>
      <c r="W25" s="2">
        <v>0.05</v>
      </c>
      <c r="X25" s="5">
        <v>10490592.08</v>
      </c>
      <c r="Y25" s="2" t="s">
        <v>283</v>
      </c>
      <c r="Z25" s="1" t="s">
        <v>183</v>
      </c>
      <c r="AA25" s="2">
        <v>5.42</v>
      </c>
      <c r="AB25" s="2">
        <v>8.6999999999999994E-2</v>
      </c>
      <c r="AC25" s="5">
        <v>28893489.82</v>
      </c>
      <c r="AD25" s="2" t="s">
        <v>283</v>
      </c>
      <c r="AE25" s="1" t="s">
        <v>204</v>
      </c>
      <c r="AF25" s="2">
        <v>5.13</v>
      </c>
      <c r="AG25" s="2">
        <v>0.13100000000000001</v>
      </c>
      <c r="AH25" s="5">
        <v>93583654.359999999</v>
      </c>
      <c r="AI25" s="2" t="s">
        <v>284</v>
      </c>
      <c r="AJ25" s="1" t="s">
        <v>225</v>
      </c>
      <c r="AK25" s="2">
        <v>4.83</v>
      </c>
      <c r="AL25" s="2">
        <v>0.17599999999999999</v>
      </c>
      <c r="AM25" s="2">
        <v>315645789.13</v>
      </c>
      <c r="AN25" s="2" t="s">
        <v>284</v>
      </c>
      <c r="AO25" s="1" t="s">
        <v>246</v>
      </c>
      <c r="AP25" s="2">
        <v>4.5</v>
      </c>
      <c r="AQ25" s="2">
        <v>0.22500000000000001</v>
      </c>
      <c r="AR25" s="2">
        <v>1202264434.6199999</v>
      </c>
      <c r="AS25" s="8" t="s">
        <v>284</v>
      </c>
      <c r="AT25" s="9"/>
    </row>
    <row r="26" spans="1:46" ht="26.25" x14ac:dyDescent="0.4">
      <c r="A26" s="1" t="s">
        <v>22</v>
      </c>
      <c r="B26" s="2">
        <v>6.57</v>
      </c>
      <c r="C26" s="2">
        <v>0</v>
      </c>
      <c r="D26" s="5">
        <v>197696.96</v>
      </c>
      <c r="E26" s="2" t="s">
        <v>275</v>
      </c>
      <c r="F26" s="1" t="s">
        <v>50</v>
      </c>
      <c r="G26" s="2">
        <v>6.41</v>
      </c>
      <c r="H26" s="2">
        <v>0</v>
      </c>
      <c r="I26" s="5">
        <v>502877.56</v>
      </c>
      <c r="J26" s="2" t="s">
        <v>275</v>
      </c>
      <c r="K26" s="1" t="s">
        <v>121</v>
      </c>
      <c r="L26" s="2">
        <v>6.16</v>
      </c>
      <c r="M26" s="2">
        <v>0</v>
      </c>
      <c r="N26" s="5">
        <v>1440124.37</v>
      </c>
      <c r="O26" s="2" t="s">
        <v>283</v>
      </c>
      <c r="P26" s="1" t="s">
        <v>142</v>
      </c>
      <c r="Q26" s="2">
        <v>5.97</v>
      </c>
      <c r="R26" s="2">
        <v>5.0000000000000001E-3</v>
      </c>
      <c r="S26" s="5">
        <v>3110283.67</v>
      </c>
      <c r="T26" s="2" t="s">
        <v>283</v>
      </c>
      <c r="U26" s="1" t="s">
        <v>163</v>
      </c>
      <c r="V26" s="2">
        <v>5.67</v>
      </c>
      <c r="W26" s="2">
        <v>0.05</v>
      </c>
      <c r="X26" s="5">
        <v>10490592.08</v>
      </c>
      <c r="Y26" s="2" t="s">
        <v>283</v>
      </c>
      <c r="Z26" s="1" t="s">
        <v>184</v>
      </c>
      <c r="AA26" s="2">
        <v>5.42</v>
      </c>
      <c r="AB26" s="2">
        <v>8.6999999999999994E-2</v>
      </c>
      <c r="AC26" s="5">
        <v>28893489.82</v>
      </c>
      <c r="AD26" s="2" t="s">
        <v>283</v>
      </c>
      <c r="AE26" s="1" t="s">
        <v>205</v>
      </c>
      <c r="AF26" s="2">
        <v>5.13</v>
      </c>
      <c r="AG26" s="2">
        <v>0.13100000000000001</v>
      </c>
      <c r="AH26" s="5">
        <v>93583654.359999999</v>
      </c>
      <c r="AI26" s="2" t="s">
        <v>284</v>
      </c>
      <c r="AJ26" s="1" t="s">
        <v>226</v>
      </c>
      <c r="AK26" s="2">
        <v>4.83</v>
      </c>
      <c r="AL26" s="2">
        <v>0.17599999999999999</v>
      </c>
      <c r="AM26" s="2">
        <v>315645789.13</v>
      </c>
      <c r="AN26" s="2" t="s">
        <v>284</v>
      </c>
      <c r="AO26" s="1" t="s">
        <v>247</v>
      </c>
      <c r="AP26" s="2">
        <v>4.5</v>
      </c>
      <c r="AQ26" s="2">
        <v>0.22500000000000001</v>
      </c>
      <c r="AR26" s="2">
        <v>1202264434.6199999</v>
      </c>
      <c r="AS26" s="8" t="s">
        <v>284</v>
      </c>
      <c r="AT26" s="9"/>
    </row>
    <row r="27" spans="1:46" ht="26.25" x14ac:dyDescent="0.4">
      <c r="A27" s="1" t="s">
        <v>23</v>
      </c>
      <c r="B27" s="2">
        <v>6.57</v>
      </c>
      <c r="C27" s="2">
        <v>0</v>
      </c>
      <c r="D27" s="5">
        <v>197696.96</v>
      </c>
      <c r="E27" s="2" t="s">
        <v>275</v>
      </c>
      <c r="F27" s="1" t="s">
        <v>51</v>
      </c>
      <c r="G27" s="2">
        <v>6.41</v>
      </c>
      <c r="H27" s="2">
        <v>0</v>
      </c>
      <c r="I27" s="5">
        <v>502877.56</v>
      </c>
      <c r="J27" s="2" t="s">
        <v>275</v>
      </c>
      <c r="K27" s="1" t="s">
        <v>122</v>
      </c>
      <c r="L27" s="2">
        <v>6.16</v>
      </c>
      <c r="M27" s="2">
        <v>0</v>
      </c>
      <c r="N27" s="5">
        <v>1440124.37</v>
      </c>
      <c r="O27" s="2" t="s">
        <v>283</v>
      </c>
      <c r="P27" s="1" t="s">
        <v>143</v>
      </c>
      <c r="Q27" s="2">
        <v>5.97</v>
      </c>
      <c r="R27" s="2">
        <v>5.0000000000000001E-3</v>
      </c>
      <c r="S27" s="5">
        <v>3110283.67</v>
      </c>
      <c r="T27" s="2" t="s">
        <v>283</v>
      </c>
      <c r="U27" s="1" t="s">
        <v>164</v>
      </c>
      <c r="V27" s="2">
        <v>5.67</v>
      </c>
      <c r="W27" s="2">
        <v>0.05</v>
      </c>
      <c r="X27" s="5">
        <v>10490592.08</v>
      </c>
      <c r="Y27" s="2" t="s">
        <v>283</v>
      </c>
      <c r="Z27" s="1" t="s">
        <v>185</v>
      </c>
      <c r="AA27" s="2">
        <v>5.42</v>
      </c>
      <c r="AB27" s="2">
        <v>8.6999999999999994E-2</v>
      </c>
      <c r="AC27" s="5">
        <v>28893489.82</v>
      </c>
      <c r="AD27" s="2" t="s">
        <v>283</v>
      </c>
      <c r="AE27" s="1" t="s">
        <v>206</v>
      </c>
      <c r="AF27" s="2">
        <v>5.13</v>
      </c>
      <c r="AG27" s="2">
        <v>0.13100000000000001</v>
      </c>
      <c r="AH27" s="5">
        <v>93583654.359999999</v>
      </c>
      <c r="AI27" s="2" t="s">
        <v>284</v>
      </c>
      <c r="AJ27" s="1" t="s">
        <v>227</v>
      </c>
      <c r="AK27" s="2">
        <v>4.83</v>
      </c>
      <c r="AL27" s="2">
        <v>0.17599999999999999</v>
      </c>
      <c r="AM27" s="2">
        <v>315645789.13</v>
      </c>
      <c r="AN27" s="2" t="s">
        <v>284</v>
      </c>
      <c r="AO27" s="1" t="s">
        <v>248</v>
      </c>
      <c r="AP27" s="2">
        <v>4.5</v>
      </c>
      <c r="AQ27" s="2">
        <v>0.22500000000000001</v>
      </c>
      <c r="AR27" s="2">
        <v>1202264434.6199999</v>
      </c>
      <c r="AS27" s="8" t="s">
        <v>284</v>
      </c>
      <c r="AT27" s="9"/>
    </row>
    <row r="28" spans="1:46" ht="26.25" x14ac:dyDescent="0.4">
      <c r="A28" s="1" t="s">
        <v>24</v>
      </c>
      <c r="B28" s="2">
        <v>6.49</v>
      </c>
      <c r="C28" s="2">
        <v>0</v>
      </c>
      <c r="D28" s="5">
        <v>168112.5</v>
      </c>
      <c r="E28" s="2" t="s">
        <v>275</v>
      </c>
      <c r="F28" s="1" t="s">
        <v>52</v>
      </c>
      <c r="G28" s="2">
        <v>6.35</v>
      </c>
      <c r="H28" s="2">
        <v>0</v>
      </c>
      <c r="I28" s="5">
        <v>666806.77</v>
      </c>
      <c r="J28" s="2" t="s">
        <v>275</v>
      </c>
      <c r="K28" s="1" t="s">
        <v>64</v>
      </c>
      <c r="L28" s="2">
        <v>6.24</v>
      </c>
      <c r="M28" s="2">
        <v>0</v>
      </c>
      <c r="N28" s="5">
        <v>1041357.86</v>
      </c>
      <c r="O28" s="2" t="s">
        <v>283</v>
      </c>
      <c r="P28" s="1" t="s">
        <v>70</v>
      </c>
      <c r="Q28" s="2">
        <v>6.01</v>
      </c>
      <c r="R28" s="2">
        <v>0</v>
      </c>
      <c r="S28" s="5">
        <v>2644843.63</v>
      </c>
      <c r="T28" s="2" t="s">
        <v>283</v>
      </c>
      <c r="U28" s="1" t="s">
        <v>76</v>
      </c>
      <c r="V28" s="2">
        <v>5.72</v>
      </c>
      <c r="W28" s="2">
        <v>4.2000000000000003E-2</v>
      </c>
      <c r="X28" s="5">
        <v>8566432.5600000005</v>
      </c>
      <c r="Y28" s="2" t="s">
        <v>283</v>
      </c>
      <c r="Z28" s="1" t="s">
        <v>83</v>
      </c>
      <c r="AA28" s="2">
        <v>5.4</v>
      </c>
      <c r="AB28" s="2">
        <v>0.09</v>
      </c>
      <c r="AC28" s="5">
        <v>31332857.239999998</v>
      </c>
      <c r="AD28" s="2" t="s">
        <v>283</v>
      </c>
      <c r="AE28" s="1" t="s">
        <v>90</v>
      </c>
      <c r="AF28" s="2">
        <v>5.1100000000000003</v>
      </c>
      <c r="AG28" s="2">
        <v>0.13300000000000001</v>
      </c>
      <c r="AH28" s="5">
        <v>101484566.28</v>
      </c>
      <c r="AI28" s="2" t="s">
        <v>284</v>
      </c>
      <c r="AJ28" s="1" t="s">
        <v>97</v>
      </c>
      <c r="AK28" s="2">
        <v>4.82</v>
      </c>
      <c r="AL28" s="2">
        <v>0.17699999999999999</v>
      </c>
      <c r="AM28" s="2">
        <v>328700223.97000003</v>
      </c>
      <c r="AN28" s="2" t="s">
        <v>284</v>
      </c>
      <c r="AO28" s="1" t="s">
        <v>104</v>
      </c>
      <c r="AP28" s="2">
        <v>4.47</v>
      </c>
      <c r="AQ28" s="2">
        <v>0.23</v>
      </c>
      <c r="AR28" s="2">
        <v>1357688064.1400001</v>
      </c>
      <c r="AS28" s="8" t="s">
        <v>284</v>
      </c>
      <c r="AT28" s="9"/>
    </row>
    <row r="29" spans="1:46" ht="26.25" x14ac:dyDescent="0.4">
      <c r="A29" s="1" t="s">
        <v>25</v>
      </c>
      <c r="B29" s="2">
        <v>6.49</v>
      </c>
      <c r="C29" s="2">
        <v>0</v>
      </c>
      <c r="D29" s="5">
        <v>168112.5</v>
      </c>
      <c r="E29" s="2" t="s">
        <v>275</v>
      </c>
      <c r="F29" s="1" t="s">
        <v>53</v>
      </c>
      <c r="G29" s="2">
        <v>6.35</v>
      </c>
      <c r="H29" s="2">
        <v>0</v>
      </c>
      <c r="I29" s="5">
        <v>666806.77</v>
      </c>
      <c r="J29" s="2" t="s">
        <v>275</v>
      </c>
      <c r="K29" s="1" t="s">
        <v>123</v>
      </c>
      <c r="L29" s="2">
        <v>6.24</v>
      </c>
      <c r="M29" s="2">
        <v>0</v>
      </c>
      <c r="N29" s="5">
        <v>1041357.86</v>
      </c>
      <c r="O29" s="2" t="s">
        <v>283</v>
      </c>
      <c r="P29" s="1" t="s">
        <v>144</v>
      </c>
      <c r="Q29" s="2">
        <v>6.01</v>
      </c>
      <c r="R29" s="2">
        <v>0</v>
      </c>
      <c r="S29" s="5">
        <v>2644843.63</v>
      </c>
      <c r="T29" s="2" t="s">
        <v>283</v>
      </c>
      <c r="U29" s="1" t="s">
        <v>165</v>
      </c>
      <c r="V29" s="2">
        <v>5.72</v>
      </c>
      <c r="W29" s="2">
        <v>4.2000000000000003E-2</v>
      </c>
      <c r="X29" s="5">
        <v>8566432.5600000005</v>
      </c>
      <c r="Y29" s="2" t="s">
        <v>283</v>
      </c>
      <c r="Z29" s="1" t="s">
        <v>186</v>
      </c>
      <c r="AA29" s="2">
        <v>5.4</v>
      </c>
      <c r="AB29" s="2">
        <v>0.09</v>
      </c>
      <c r="AC29" s="5">
        <v>31332857.239999998</v>
      </c>
      <c r="AD29" s="2" t="s">
        <v>283</v>
      </c>
      <c r="AE29" s="1" t="s">
        <v>207</v>
      </c>
      <c r="AF29" s="2">
        <v>5.1100000000000003</v>
      </c>
      <c r="AG29" s="2">
        <v>0.13300000000000001</v>
      </c>
      <c r="AH29" s="5">
        <v>101484566.28</v>
      </c>
      <c r="AI29" s="2" t="s">
        <v>284</v>
      </c>
      <c r="AJ29" s="1" t="s">
        <v>228</v>
      </c>
      <c r="AK29" s="2">
        <v>4.82</v>
      </c>
      <c r="AL29" s="2">
        <v>0.17699999999999999</v>
      </c>
      <c r="AM29" s="2">
        <v>328700223.97000003</v>
      </c>
      <c r="AN29" s="2" t="s">
        <v>284</v>
      </c>
      <c r="AO29" s="1" t="s">
        <v>249</v>
      </c>
      <c r="AP29" s="2">
        <v>4.47</v>
      </c>
      <c r="AQ29" s="2">
        <v>0.23</v>
      </c>
      <c r="AR29" s="2">
        <v>1357688064.1400001</v>
      </c>
      <c r="AS29" s="8" t="s">
        <v>284</v>
      </c>
      <c r="AT29" s="9"/>
    </row>
    <row r="30" spans="1:46" ht="26.25" x14ac:dyDescent="0.4">
      <c r="A30" s="1" t="s">
        <v>26</v>
      </c>
      <c r="B30" s="2">
        <v>6.49</v>
      </c>
      <c r="C30" s="2">
        <v>0</v>
      </c>
      <c r="D30" s="5">
        <v>168112.5</v>
      </c>
      <c r="E30" s="2" t="s">
        <v>275</v>
      </c>
      <c r="F30" s="1" t="s">
        <v>54</v>
      </c>
      <c r="G30" s="2">
        <v>6.35</v>
      </c>
      <c r="H30" s="2">
        <v>0</v>
      </c>
      <c r="I30" s="5">
        <v>666806.77</v>
      </c>
      <c r="J30" s="2" t="s">
        <v>275</v>
      </c>
      <c r="K30" s="1" t="s">
        <v>124</v>
      </c>
      <c r="L30" s="2">
        <v>6.24</v>
      </c>
      <c r="M30" s="2">
        <v>0</v>
      </c>
      <c r="N30" s="5">
        <v>1041357.86</v>
      </c>
      <c r="O30" s="2" t="s">
        <v>283</v>
      </c>
      <c r="P30" s="1" t="s">
        <v>145</v>
      </c>
      <c r="Q30" s="2">
        <v>6.01</v>
      </c>
      <c r="R30" s="2">
        <v>0</v>
      </c>
      <c r="S30" s="5">
        <v>2644843.63</v>
      </c>
      <c r="T30" s="2" t="s">
        <v>283</v>
      </c>
      <c r="U30" s="1" t="s">
        <v>166</v>
      </c>
      <c r="V30" s="2">
        <v>5.72</v>
      </c>
      <c r="W30" s="2">
        <v>4.2000000000000003E-2</v>
      </c>
      <c r="X30" s="5">
        <v>8566432.5600000005</v>
      </c>
      <c r="Y30" s="2" t="s">
        <v>283</v>
      </c>
      <c r="Z30" s="1" t="s">
        <v>187</v>
      </c>
      <c r="AA30" s="2">
        <v>5.4</v>
      </c>
      <c r="AB30" s="2">
        <v>0.09</v>
      </c>
      <c r="AC30" s="5">
        <v>31332857.239999998</v>
      </c>
      <c r="AD30" s="2" t="s">
        <v>283</v>
      </c>
      <c r="AE30" s="1" t="s">
        <v>208</v>
      </c>
      <c r="AF30" s="2">
        <v>5.1100000000000003</v>
      </c>
      <c r="AG30" s="2">
        <v>0.13300000000000001</v>
      </c>
      <c r="AH30" s="5">
        <v>101484566.28</v>
      </c>
      <c r="AI30" s="2" t="s">
        <v>284</v>
      </c>
      <c r="AJ30" s="1" t="s">
        <v>229</v>
      </c>
      <c r="AK30" s="2">
        <v>4.82</v>
      </c>
      <c r="AL30" s="2">
        <v>0.17699999999999999</v>
      </c>
      <c r="AM30" s="2">
        <v>328700223.97000003</v>
      </c>
      <c r="AN30" s="2" t="s">
        <v>284</v>
      </c>
      <c r="AO30" s="1" t="s">
        <v>250</v>
      </c>
      <c r="AP30" s="2">
        <v>4.47</v>
      </c>
      <c r="AQ30" s="2">
        <v>0.23</v>
      </c>
      <c r="AR30" s="2">
        <v>1357688064.1400001</v>
      </c>
      <c r="AS30" s="8" t="s">
        <v>284</v>
      </c>
      <c r="AT30" s="9"/>
    </row>
    <row r="31" spans="1:46" ht="26.25" x14ac:dyDescent="0.4">
      <c r="A31" s="1" t="s">
        <v>27</v>
      </c>
      <c r="B31" s="2">
        <v>6.49</v>
      </c>
      <c r="C31" s="2">
        <v>0</v>
      </c>
      <c r="D31" s="5">
        <v>168112.5</v>
      </c>
      <c r="E31" s="2" t="s">
        <v>275</v>
      </c>
      <c r="F31" s="1" t="s">
        <v>55</v>
      </c>
      <c r="G31" s="2">
        <v>6.35</v>
      </c>
      <c r="H31" s="2">
        <v>0</v>
      </c>
      <c r="I31" s="5">
        <v>666806.77</v>
      </c>
      <c r="J31" s="2" t="s">
        <v>275</v>
      </c>
      <c r="K31" s="1" t="s">
        <v>125</v>
      </c>
      <c r="L31" s="2">
        <v>6.24</v>
      </c>
      <c r="M31" s="2">
        <v>0</v>
      </c>
      <c r="N31" s="5">
        <v>1041357.86</v>
      </c>
      <c r="O31" s="2" t="s">
        <v>283</v>
      </c>
      <c r="P31" s="1" t="s">
        <v>146</v>
      </c>
      <c r="Q31" s="2">
        <v>6.01</v>
      </c>
      <c r="R31" s="2">
        <v>0</v>
      </c>
      <c r="S31" s="5">
        <v>2644843.63</v>
      </c>
      <c r="T31" s="2" t="s">
        <v>283</v>
      </c>
      <c r="U31" s="1" t="s">
        <v>167</v>
      </c>
      <c r="V31" s="2">
        <v>5.72</v>
      </c>
      <c r="W31" s="2">
        <v>4.2000000000000003E-2</v>
      </c>
      <c r="X31" s="5">
        <v>8566432.5600000005</v>
      </c>
      <c r="Y31" s="2" t="s">
        <v>283</v>
      </c>
      <c r="Z31" s="1" t="s">
        <v>188</v>
      </c>
      <c r="AA31" s="2">
        <v>5.4</v>
      </c>
      <c r="AB31" s="2">
        <v>0.09</v>
      </c>
      <c r="AC31" s="5">
        <v>31332857.239999998</v>
      </c>
      <c r="AD31" s="2" t="s">
        <v>283</v>
      </c>
      <c r="AE31" s="1" t="s">
        <v>209</v>
      </c>
      <c r="AF31" s="2">
        <v>5.1100000000000003</v>
      </c>
      <c r="AG31" s="2">
        <v>0.13300000000000001</v>
      </c>
      <c r="AH31" s="5">
        <v>101484566.28</v>
      </c>
      <c r="AI31" s="2" t="s">
        <v>284</v>
      </c>
      <c r="AJ31" s="1" t="s">
        <v>230</v>
      </c>
      <c r="AK31" s="2">
        <v>4.82</v>
      </c>
      <c r="AL31" s="2">
        <v>0.17699999999999999</v>
      </c>
      <c r="AM31" s="2">
        <v>328700223.97000003</v>
      </c>
      <c r="AN31" s="2" t="s">
        <v>284</v>
      </c>
      <c r="AO31" s="1" t="s">
        <v>251</v>
      </c>
      <c r="AP31" s="2">
        <v>4.47</v>
      </c>
      <c r="AQ31" s="2">
        <v>0.23</v>
      </c>
      <c r="AR31" s="2">
        <v>1357688064.1400001</v>
      </c>
      <c r="AS31" s="8" t="s">
        <v>284</v>
      </c>
      <c r="AT31" s="9"/>
    </row>
    <row r="32" spans="1:46" ht="26.25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26.25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ht="26.25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ht="26.25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41" ht="26.25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41" ht="26.25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41" ht="26.25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41" ht="26.25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41" ht="26.25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41" ht="26.25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41" ht="26.25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41" ht="26.25" x14ac:dyDescent="0.4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26.25" x14ac:dyDescent="0.4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</sheetData>
  <mergeCells count="1">
    <mergeCell ref="A1:A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F326-0DDF-4A29-9FF2-F6B16CFB6B4E}">
  <dimension ref="A2:AS30"/>
  <sheetViews>
    <sheetView zoomScale="55" zoomScaleNormal="55" workbookViewId="0">
      <selection activeCell="A2" sqref="A2:AS30"/>
    </sheetView>
  </sheetViews>
  <sheetFormatPr defaultRowHeight="15.75" x14ac:dyDescent="0.25"/>
  <sheetData>
    <row r="2" spans="1:45" ht="26.25" x14ac:dyDescent="0.4">
      <c r="A2" s="1" t="s">
        <v>274</v>
      </c>
      <c r="B2" s="2" t="s">
        <v>269</v>
      </c>
      <c r="C2" s="2" t="s">
        <v>271</v>
      </c>
      <c r="D2" s="2" t="s">
        <v>272</v>
      </c>
      <c r="E2" s="2" t="s">
        <v>273</v>
      </c>
      <c r="F2" s="1" t="s">
        <v>274</v>
      </c>
      <c r="G2" s="2" t="s">
        <v>269</v>
      </c>
      <c r="H2" s="2" t="s">
        <v>271</v>
      </c>
      <c r="I2" s="2" t="s">
        <v>272</v>
      </c>
      <c r="J2" s="2" t="s">
        <v>273</v>
      </c>
      <c r="K2" s="1"/>
      <c r="L2" s="2" t="s">
        <v>269</v>
      </c>
      <c r="M2" s="2" t="s">
        <v>271</v>
      </c>
      <c r="N2" s="2" t="s">
        <v>272</v>
      </c>
      <c r="O2" s="2" t="s">
        <v>273</v>
      </c>
      <c r="P2" s="1"/>
      <c r="Q2" s="2" t="s">
        <v>269</v>
      </c>
      <c r="R2" s="2" t="s">
        <v>271</v>
      </c>
      <c r="S2" s="2" t="s">
        <v>272</v>
      </c>
      <c r="T2" s="2" t="s">
        <v>273</v>
      </c>
      <c r="U2" s="1"/>
      <c r="V2" s="2" t="s">
        <v>269</v>
      </c>
      <c r="W2" s="2" t="s">
        <v>271</v>
      </c>
      <c r="X2" s="2" t="s">
        <v>272</v>
      </c>
      <c r="Y2" s="2" t="s">
        <v>273</v>
      </c>
      <c r="Z2" s="1"/>
      <c r="AA2" s="2" t="s">
        <v>269</v>
      </c>
      <c r="AB2" s="2" t="s">
        <v>271</v>
      </c>
      <c r="AC2" s="2" t="s">
        <v>272</v>
      </c>
      <c r="AD2" s="2" t="s">
        <v>273</v>
      </c>
      <c r="AE2" s="1"/>
      <c r="AF2" s="2" t="s">
        <v>269</v>
      </c>
      <c r="AG2" s="2" t="s">
        <v>271</v>
      </c>
      <c r="AH2" s="2" t="s">
        <v>272</v>
      </c>
      <c r="AI2" s="2" t="s">
        <v>273</v>
      </c>
      <c r="AJ2" s="1"/>
      <c r="AK2" s="2" t="s">
        <v>269</v>
      </c>
      <c r="AL2" s="2" t="s">
        <v>271</v>
      </c>
      <c r="AM2" s="2" t="s">
        <v>272</v>
      </c>
      <c r="AN2" s="2" t="s">
        <v>273</v>
      </c>
      <c r="AO2" s="1"/>
      <c r="AP2" s="2" t="s">
        <v>269</v>
      </c>
      <c r="AQ2" s="2" t="s">
        <v>271</v>
      </c>
      <c r="AR2" s="2" t="s">
        <v>272</v>
      </c>
      <c r="AS2" s="2" t="s">
        <v>273</v>
      </c>
    </row>
    <row r="3" spans="1:45" ht="26.25" x14ac:dyDescent="0.4">
      <c r="A3" s="1" t="s">
        <v>0</v>
      </c>
      <c r="B3" s="2">
        <v>6.66</v>
      </c>
      <c r="C3" s="2">
        <v>0</v>
      </c>
      <c r="D3" s="5">
        <v>189845.37</v>
      </c>
      <c r="E3" s="2" t="s">
        <v>275</v>
      </c>
      <c r="F3" s="1" t="s">
        <v>28</v>
      </c>
      <c r="G3" s="2">
        <v>6.42</v>
      </c>
      <c r="H3" s="2">
        <v>0</v>
      </c>
      <c r="I3" s="5">
        <v>502111.31</v>
      </c>
      <c r="J3" s="2" t="s">
        <v>276</v>
      </c>
      <c r="K3" s="1" t="s">
        <v>56</v>
      </c>
      <c r="L3" s="2">
        <v>6.16</v>
      </c>
      <c r="M3" s="2">
        <v>0</v>
      </c>
      <c r="N3" s="5">
        <v>1440124.37</v>
      </c>
      <c r="O3" s="2" t="s">
        <v>277</v>
      </c>
      <c r="P3" s="1" t="s">
        <v>57</v>
      </c>
      <c r="Q3" s="2">
        <v>5.99</v>
      </c>
      <c r="R3" s="2">
        <v>2E-3</v>
      </c>
      <c r="S3" s="5">
        <v>2868137.71</v>
      </c>
      <c r="T3" s="2" t="s">
        <v>277</v>
      </c>
      <c r="U3" s="1" t="s">
        <v>58</v>
      </c>
      <c r="V3" s="2">
        <v>5.68</v>
      </c>
      <c r="W3" s="2">
        <v>4.8000000000000001E-2</v>
      </c>
      <c r="X3" s="5">
        <v>10073954.85</v>
      </c>
      <c r="Y3" s="2" t="s">
        <v>278</v>
      </c>
      <c r="Z3" s="1" t="s">
        <v>77</v>
      </c>
      <c r="AA3" s="2">
        <v>5.37</v>
      </c>
      <c r="AB3" s="2">
        <v>9.5000000000000001E-2</v>
      </c>
      <c r="AC3" s="5">
        <v>35383435.68</v>
      </c>
      <c r="AD3" s="2" t="s">
        <v>278</v>
      </c>
      <c r="AE3" s="1" t="s">
        <v>84</v>
      </c>
      <c r="AF3" s="2">
        <v>5.0999999999999996</v>
      </c>
      <c r="AG3" s="2">
        <v>0.13500000000000001</v>
      </c>
      <c r="AH3" s="5">
        <v>105681750.92</v>
      </c>
      <c r="AI3" s="2" t="s">
        <v>278</v>
      </c>
      <c r="AJ3" s="1" t="s">
        <v>91</v>
      </c>
      <c r="AK3" s="2">
        <v>4.76</v>
      </c>
      <c r="AL3" s="2">
        <v>0.186</v>
      </c>
      <c r="AM3" s="2">
        <v>419179465.93000001</v>
      </c>
      <c r="AN3" s="2" t="s">
        <v>278</v>
      </c>
      <c r="AO3" s="1" t="s">
        <v>98</v>
      </c>
      <c r="AP3" s="2">
        <v>4.4800000000000004</v>
      </c>
      <c r="AQ3" s="2">
        <v>0.22800000000000001</v>
      </c>
      <c r="AR3" s="2">
        <v>1303767047.1400001</v>
      </c>
      <c r="AS3" s="1" t="s">
        <v>278</v>
      </c>
    </row>
    <row r="4" spans="1:45" ht="26.25" x14ac:dyDescent="0.4">
      <c r="A4" s="1" t="s">
        <v>1</v>
      </c>
      <c r="B4" s="2">
        <v>6.66</v>
      </c>
      <c r="C4" s="2">
        <v>0</v>
      </c>
      <c r="D4" s="5">
        <v>189845.37</v>
      </c>
      <c r="E4" s="2" t="s">
        <v>275</v>
      </c>
      <c r="F4" s="1" t="s">
        <v>29</v>
      </c>
      <c r="G4" s="2">
        <v>6.42</v>
      </c>
      <c r="H4" s="2">
        <v>0</v>
      </c>
      <c r="I4" s="5">
        <v>502111.31</v>
      </c>
      <c r="J4" s="2" t="s">
        <v>276</v>
      </c>
      <c r="K4" s="1" t="s">
        <v>105</v>
      </c>
      <c r="L4" s="2">
        <v>6.16</v>
      </c>
      <c r="M4" s="2">
        <v>0</v>
      </c>
      <c r="N4" s="5">
        <v>1440124.37</v>
      </c>
      <c r="O4" s="2" t="s">
        <v>277</v>
      </c>
      <c r="P4" s="1" t="s">
        <v>126</v>
      </c>
      <c r="Q4" s="2">
        <v>5.99</v>
      </c>
      <c r="R4" s="2">
        <v>2E-3</v>
      </c>
      <c r="S4" s="5">
        <v>2868137.71</v>
      </c>
      <c r="T4" s="2" t="s">
        <v>277</v>
      </c>
      <c r="U4" s="1" t="s">
        <v>147</v>
      </c>
      <c r="V4" s="2">
        <v>5.68</v>
      </c>
      <c r="W4" s="2">
        <v>4.8000000000000001E-2</v>
      </c>
      <c r="X4" s="5">
        <v>10073954.85</v>
      </c>
      <c r="Y4" s="2" t="s">
        <v>278</v>
      </c>
      <c r="Z4" s="1" t="s">
        <v>168</v>
      </c>
      <c r="AA4" s="2">
        <v>5.37</v>
      </c>
      <c r="AB4" s="2">
        <v>9.5000000000000001E-2</v>
      </c>
      <c r="AC4" s="5">
        <v>35383435.68</v>
      </c>
      <c r="AD4" s="2" t="s">
        <v>278</v>
      </c>
      <c r="AE4" s="1" t="s">
        <v>189</v>
      </c>
      <c r="AF4" s="2">
        <v>5.0999999999999996</v>
      </c>
      <c r="AG4" s="2">
        <v>0.13500000000000001</v>
      </c>
      <c r="AH4" s="5">
        <v>105681750.92</v>
      </c>
      <c r="AI4" s="2" t="s">
        <v>278</v>
      </c>
      <c r="AJ4" s="1" t="s">
        <v>210</v>
      </c>
      <c r="AK4" s="2">
        <v>4.76</v>
      </c>
      <c r="AL4" s="2">
        <v>0.186</v>
      </c>
      <c r="AM4" s="2">
        <v>419179465.93000001</v>
      </c>
      <c r="AN4" s="2" t="s">
        <v>278</v>
      </c>
      <c r="AO4" s="1" t="s">
        <v>231</v>
      </c>
      <c r="AP4" s="2">
        <v>4.4800000000000004</v>
      </c>
      <c r="AQ4" s="2">
        <v>0.22800000000000001</v>
      </c>
      <c r="AR4" s="2">
        <v>1303767047.1400001</v>
      </c>
      <c r="AS4" s="1" t="s">
        <v>278</v>
      </c>
    </row>
    <row r="5" spans="1:45" ht="26.25" x14ac:dyDescent="0.4">
      <c r="A5" s="1" t="s">
        <v>2</v>
      </c>
      <c r="B5" s="2">
        <v>6.66</v>
      </c>
      <c r="C5" s="2">
        <v>0</v>
      </c>
      <c r="D5" s="5">
        <v>189845.37</v>
      </c>
      <c r="E5" s="2" t="s">
        <v>275</v>
      </c>
      <c r="F5" s="1" t="s">
        <v>30</v>
      </c>
      <c r="G5" s="2">
        <v>6.42</v>
      </c>
      <c r="H5" s="2">
        <v>0</v>
      </c>
      <c r="I5" s="5">
        <v>502111.31</v>
      </c>
      <c r="J5" s="2" t="s">
        <v>276</v>
      </c>
      <c r="K5" s="1" t="s">
        <v>106</v>
      </c>
      <c r="L5" s="2">
        <v>6.16</v>
      </c>
      <c r="M5" s="2">
        <v>0</v>
      </c>
      <c r="N5" s="5">
        <v>1440124.37</v>
      </c>
      <c r="O5" s="2" t="s">
        <v>277</v>
      </c>
      <c r="P5" s="1" t="s">
        <v>127</v>
      </c>
      <c r="Q5" s="2">
        <v>5.99</v>
      </c>
      <c r="R5" s="2">
        <v>2E-3</v>
      </c>
      <c r="S5" s="5">
        <v>2868137.71</v>
      </c>
      <c r="T5" s="2" t="s">
        <v>277</v>
      </c>
      <c r="U5" s="1" t="s">
        <v>148</v>
      </c>
      <c r="V5" s="2">
        <v>5.68</v>
      </c>
      <c r="W5" s="2">
        <v>4.8000000000000001E-2</v>
      </c>
      <c r="X5" s="5">
        <v>10073954.85</v>
      </c>
      <c r="Y5" s="2" t="s">
        <v>278</v>
      </c>
      <c r="Z5" s="1" t="s">
        <v>169</v>
      </c>
      <c r="AA5" s="2">
        <v>5.37</v>
      </c>
      <c r="AB5" s="2">
        <v>9.5000000000000001E-2</v>
      </c>
      <c r="AC5" s="5">
        <v>35383435.68</v>
      </c>
      <c r="AD5" s="2" t="s">
        <v>278</v>
      </c>
      <c r="AE5" s="1" t="s">
        <v>190</v>
      </c>
      <c r="AF5" s="2">
        <v>5.0999999999999996</v>
      </c>
      <c r="AG5" s="2">
        <v>0.13500000000000001</v>
      </c>
      <c r="AH5" s="5">
        <v>105681750.92</v>
      </c>
      <c r="AI5" s="2" t="s">
        <v>278</v>
      </c>
      <c r="AJ5" s="1" t="s">
        <v>211</v>
      </c>
      <c r="AK5" s="2">
        <v>4.76</v>
      </c>
      <c r="AL5" s="2">
        <v>0.186</v>
      </c>
      <c r="AM5" s="2">
        <v>419179465.93000001</v>
      </c>
      <c r="AN5" s="2" t="s">
        <v>278</v>
      </c>
      <c r="AO5" s="1" t="s">
        <v>232</v>
      </c>
      <c r="AP5" s="2">
        <v>4.4800000000000004</v>
      </c>
      <c r="AQ5" s="2">
        <v>0.22800000000000001</v>
      </c>
      <c r="AR5" s="2">
        <v>1303767047.1400001</v>
      </c>
      <c r="AS5" s="1" t="s">
        <v>278</v>
      </c>
    </row>
    <row r="6" spans="1:45" ht="26.25" x14ac:dyDescent="0.4">
      <c r="A6" s="1" t="s">
        <v>3</v>
      </c>
      <c r="B6" s="2">
        <v>6.66</v>
      </c>
      <c r="C6" s="2">
        <v>0</v>
      </c>
      <c r="D6" s="5">
        <v>189845.37</v>
      </c>
      <c r="E6" s="2" t="s">
        <v>275</v>
      </c>
      <c r="F6" s="1" t="s">
        <v>31</v>
      </c>
      <c r="G6" s="2">
        <v>6.42</v>
      </c>
      <c r="H6" s="2">
        <v>0</v>
      </c>
      <c r="I6" s="5">
        <v>502111.31</v>
      </c>
      <c r="J6" s="2" t="s">
        <v>276</v>
      </c>
      <c r="K6" s="1" t="s">
        <v>107</v>
      </c>
      <c r="L6" s="2">
        <v>6.16</v>
      </c>
      <c r="M6" s="2">
        <v>0</v>
      </c>
      <c r="N6" s="5">
        <v>1440124.37</v>
      </c>
      <c r="O6" s="2" t="s">
        <v>277</v>
      </c>
      <c r="P6" s="1" t="s">
        <v>128</v>
      </c>
      <c r="Q6" s="2">
        <v>5.99</v>
      </c>
      <c r="R6" s="2">
        <v>2E-3</v>
      </c>
      <c r="S6" s="5">
        <v>2868137.71</v>
      </c>
      <c r="T6" s="2" t="s">
        <v>277</v>
      </c>
      <c r="U6" s="1" t="s">
        <v>149</v>
      </c>
      <c r="V6" s="2">
        <v>5.68</v>
      </c>
      <c r="W6" s="2">
        <v>4.8000000000000001E-2</v>
      </c>
      <c r="X6" s="5">
        <v>10073954.85</v>
      </c>
      <c r="Y6" s="2" t="s">
        <v>278</v>
      </c>
      <c r="Z6" s="1" t="s">
        <v>170</v>
      </c>
      <c r="AA6" s="2">
        <v>5.37</v>
      </c>
      <c r="AB6" s="2">
        <v>9.5000000000000001E-2</v>
      </c>
      <c r="AC6" s="5">
        <v>35383435.68</v>
      </c>
      <c r="AD6" s="2" t="s">
        <v>278</v>
      </c>
      <c r="AE6" s="1" t="s">
        <v>191</v>
      </c>
      <c r="AF6" s="2">
        <v>5.0999999999999996</v>
      </c>
      <c r="AG6" s="2">
        <v>0.13500000000000001</v>
      </c>
      <c r="AH6" s="5">
        <v>105681750.92</v>
      </c>
      <c r="AI6" s="2" t="s">
        <v>278</v>
      </c>
      <c r="AJ6" s="1" t="s">
        <v>212</v>
      </c>
      <c r="AK6" s="2">
        <v>4.76</v>
      </c>
      <c r="AL6" s="2">
        <v>0.186</v>
      </c>
      <c r="AM6" s="2">
        <v>419179465.93000001</v>
      </c>
      <c r="AN6" s="2" t="s">
        <v>278</v>
      </c>
      <c r="AO6" s="1" t="s">
        <v>233</v>
      </c>
      <c r="AP6" s="2">
        <v>4.4800000000000004</v>
      </c>
      <c r="AQ6" s="2">
        <v>0.22800000000000001</v>
      </c>
      <c r="AR6" s="2">
        <v>1303767047.1400001</v>
      </c>
      <c r="AS6" s="1" t="s">
        <v>278</v>
      </c>
    </row>
    <row r="7" spans="1:45" ht="26.25" x14ac:dyDescent="0.4">
      <c r="A7" s="1" t="s">
        <v>4</v>
      </c>
      <c r="B7" s="2">
        <v>6.51</v>
      </c>
      <c r="C7" s="2">
        <v>0</v>
      </c>
      <c r="D7" s="5">
        <v>205873.29</v>
      </c>
      <c r="E7" s="2" t="s">
        <v>275</v>
      </c>
      <c r="F7" s="1" t="s">
        <v>32</v>
      </c>
      <c r="G7" s="2">
        <v>6.39</v>
      </c>
      <c r="H7" s="2">
        <v>0</v>
      </c>
      <c r="I7" s="5">
        <v>567022.12</v>
      </c>
      <c r="J7" s="2" t="s">
        <v>276</v>
      </c>
      <c r="K7" s="1" t="s">
        <v>59</v>
      </c>
      <c r="L7" s="2">
        <v>6.19</v>
      </c>
      <c r="M7" s="2">
        <v>0</v>
      </c>
      <c r="N7" s="5">
        <v>1275263.71</v>
      </c>
      <c r="O7" s="2" t="s">
        <v>277</v>
      </c>
      <c r="P7" s="1" t="s">
        <v>65</v>
      </c>
      <c r="Q7" s="2">
        <v>6</v>
      </c>
      <c r="R7" s="2">
        <v>0</v>
      </c>
      <c r="S7" s="5">
        <v>2754228.7</v>
      </c>
      <c r="T7" s="2" t="s">
        <v>277</v>
      </c>
      <c r="U7" s="1" t="s">
        <v>71</v>
      </c>
      <c r="V7" s="2">
        <v>5.69</v>
      </c>
      <c r="W7" s="2">
        <v>4.5999999999999999E-2</v>
      </c>
      <c r="X7" s="5">
        <v>9673864.5</v>
      </c>
      <c r="Y7" s="2" t="s">
        <v>277</v>
      </c>
      <c r="Z7" s="1" t="s">
        <v>78</v>
      </c>
      <c r="AA7" s="2">
        <v>5.41</v>
      </c>
      <c r="AB7" s="2">
        <v>8.8999999999999996E-2</v>
      </c>
      <c r="AC7" s="5">
        <v>30088462.77</v>
      </c>
      <c r="AD7" s="2" t="s">
        <v>278</v>
      </c>
      <c r="AE7" s="1" t="s">
        <v>85</v>
      </c>
      <c r="AF7" s="2">
        <v>5.09</v>
      </c>
      <c r="AG7" s="2">
        <v>0.13700000000000001</v>
      </c>
      <c r="AH7" s="5">
        <v>110052522.14</v>
      </c>
      <c r="AI7" s="2" t="s">
        <v>278</v>
      </c>
      <c r="AJ7" s="1" t="s">
        <v>92</v>
      </c>
      <c r="AK7" s="2">
        <v>4.8099999999999996</v>
      </c>
      <c r="AL7" s="2">
        <v>0.17899999999999999</v>
      </c>
      <c r="AM7" s="2">
        <v>342294562.31999999</v>
      </c>
      <c r="AN7" s="2" t="s">
        <v>278</v>
      </c>
      <c r="AO7" s="1" t="s">
        <v>99</v>
      </c>
      <c r="AP7" s="2">
        <v>4.49</v>
      </c>
      <c r="AQ7" s="2">
        <v>0.22700000000000001</v>
      </c>
      <c r="AR7" s="2">
        <v>1251987520.6199999</v>
      </c>
      <c r="AS7" s="1" t="s">
        <v>278</v>
      </c>
    </row>
    <row r="8" spans="1:45" ht="26.25" x14ac:dyDescent="0.4">
      <c r="A8" s="1" t="s">
        <v>5</v>
      </c>
      <c r="B8" s="2">
        <v>6.51</v>
      </c>
      <c r="C8" s="2">
        <v>0</v>
      </c>
      <c r="D8" s="5">
        <v>205873.29</v>
      </c>
      <c r="E8" s="2" t="s">
        <v>275</v>
      </c>
      <c r="F8" s="1" t="s">
        <v>33</v>
      </c>
      <c r="G8" s="2">
        <v>6.39</v>
      </c>
      <c r="H8" s="2">
        <v>0</v>
      </c>
      <c r="I8" s="5">
        <v>567022.12</v>
      </c>
      <c r="J8" s="2" t="s">
        <v>276</v>
      </c>
      <c r="K8" s="1" t="s">
        <v>108</v>
      </c>
      <c r="L8" s="2">
        <v>6.19</v>
      </c>
      <c r="M8" s="2">
        <v>0</v>
      </c>
      <c r="N8" s="5">
        <v>1275263.71</v>
      </c>
      <c r="O8" s="2" t="s">
        <v>277</v>
      </c>
      <c r="P8" s="1" t="s">
        <v>129</v>
      </c>
      <c r="Q8" s="2">
        <v>6</v>
      </c>
      <c r="R8" s="2">
        <v>0</v>
      </c>
      <c r="S8" s="5">
        <v>2754228.7</v>
      </c>
      <c r="T8" s="2" t="s">
        <v>277</v>
      </c>
      <c r="U8" s="1" t="s">
        <v>150</v>
      </c>
      <c r="V8" s="2">
        <v>5.69</v>
      </c>
      <c r="W8" s="2">
        <v>4.5999999999999999E-2</v>
      </c>
      <c r="X8" s="5">
        <v>9673864.5</v>
      </c>
      <c r="Y8" s="2" t="s">
        <v>277</v>
      </c>
      <c r="Z8" s="1" t="s">
        <v>171</v>
      </c>
      <c r="AA8" s="2">
        <v>5.41</v>
      </c>
      <c r="AB8" s="2">
        <v>8.8999999999999996E-2</v>
      </c>
      <c r="AC8" s="5">
        <v>30088462.77</v>
      </c>
      <c r="AD8" s="2" t="s">
        <v>278</v>
      </c>
      <c r="AE8" s="1" t="s">
        <v>192</v>
      </c>
      <c r="AF8" s="2">
        <v>5.09</v>
      </c>
      <c r="AG8" s="2">
        <v>0.13700000000000001</v>
      </c>
      <c r="AH8" s="5">
        <v>110052522.14</v>
      </c>
      <c r="AI8" s="2" t="s">
        <v>278</v>
      </c>
      <c r="AJ8" s="1" t="s">
        <v>213</v>
      </c>
      <c r="AK8" s="2">
        <v>4.8099999999999996</v>
      </c>
      <c r="AL8" s="2">
        <v>0.17899999999999999</v>
      </c>
      <c r="AM8" s="2">
        <v>342294562.31999999</v>
      </c>
      <c r="AN8" s="2" t="s">
        <v>278</v>
      </c>
      <c r="AO8" s="1" t="s">
        <v>234</v>
      </c>
      <c r="AP8" s="2">
        <v>4.49</v>
      </c>
      <c r="AQ8" s="2">
        <v>0.22700000000000001</v>
      </c>
      <c r="AR8" s="2">
        <v>1251987520.6199999</v>
      </c>
      <c r="AS8" s="1" t="s">
        <v>278</v>
      </c>
    </row>
    <row r="9" spans="1:45" ht="26.25" x14ac:dyDescent="0.4">
      <c r="A9" s="1" t="s">
        <v>6</v>
      </c>
      <c r="B9" s="2">
        <v>6.51</v>
      </c>
      <c r="C9" s="2">
        <v>0</v>
      </c>
      <c r="D9" s="5">
        <v>205873.29</v>
      </c>
      <c r="E9" s="2" t="s">
        <v>275</v>
      </c>
      <c r="F9" s="1" t="s">
        <v>34</v>
      </c>
      <c r="G9" s="2">
        <v>6.39</v>
      </c>
      <c r="H9" s="2">
        <v>0</v>
      </c>
      <c r="I9" s="5">
        <v>567022.12</v>
      </c>
      <c r="J9" s="2" t="s">
        <v>276</v>
      </c>
      <c r="K9" s="1" t="s">
        <v>109</v>
      </c>
      <c r="L9" s="2">
        <v>6.19</v>
      </c>
      <c r="M9" s="2">
        <v>0</v>
      </c>
      <c r="N9" s="5">
        <v>1275263.71</v>
      </c>
      <c r="O9" s="2" t="s">
        <v>277</v>
      </c>
      <c r="P9" s="1" t="s">
        <v>130</v>
      </c>
      <c r="Q9" s="2">
        <v>6</v>
      </c>
      <c r="R9" s="2">
        <v>0</v>
      </c>
      <c r="S9" s="5">
        <v>2754228.7</v>
      </c>
      <c r="T9" s="2" t="s">
        <v>277</v>
      </c>
      <c r="U9" s="1" t="s">
        <v>151</v>
      </c>
      <c r="V9" s="2">
        <v>5.69</v>
      </c>
      <c r="W9" s="2">
        <v>4.5999999999999999E-2</v>
      </c>
      <c r="X9" s="5">
        <v>9673864.5</v>
      </c>
      <c r="Y9" s="2" t="s">
        <v>277</v>
      </c>
      <c r="Z9" s="1" t="s">
        <v>172</v>
      </c>
      <c r="AA9" s="2">
        <v>5.41</v>
      </c>
      <c r="AB9" s="2">
        <v>8.8999999999999996E-2</v>
      </c>
      <c r="AC9" s="5">
        <v>30088462.77</v>
      </c>
      <c r="AD9" s="2" t="s">
        <v>278</v>
      </c>
      <c r="AE9" s="1" t="s">
        <v>193</v>
      </c>
      <c r="AF9" s="2">
        <v>5.09</v>
      </c>
      <c r="AG9" s="2">
        <v>0.13700000000000001</v>
      </c>
      <c r="AH9" s="5">
        <v>110052522.14</v>
      </c>
      <c r="AI9" s="2" t="s">
        <v>278</v>
      </c>
      <c r="AJ9" s="1" t="s">
        <v>214</v>
      </c>
      <c r="AK9" s="2">
        <v>4.8099999999999996</v>
      </c>
      <c r="AL9" s="2">
        <v>0.17899999999999999</v>
      </c>
      <c r="AM9" s="2">
        <v>342294562.31999999</v>
      </c>
      <c r="AN9" s="2" t="s">
        <v>278</v>
      </c>
      <c r="AO9" s="1" t="s">
        <v>235</v>
      </c>
      <c r="AP9" s="2">
        <v>4.49</v>
      </c>
      <c r="AQ9" s="2">
        <v>0.22700000000000001</v>
      </c>
      <c r="AR9" s="2">
        <v>1251987520.6199999</v>
      </c>
      <c r="AS9" s="1" t="s">
        <v>278</v>
      </c>
    </row>
    <row r="10" spans="1:45" ht="26.25" x14ac:dyDescent="0.4">
      <c r="A10" s="1" t="s">
        <v>7</v>
      </c>
      <c r="B10" s="2">
        <v>6.51</v>
      </c>
      <c r="C10" s="2">
        <v>0</v>
      </c>
      <c r="D10" s="5">
        <v>205873.29</v>
      </c>
      <c r="E10" s="2" t="s">
        <v>275</v>
      </c>
      <c r="F10" s="1" t="s">
        <v>35</v>
      </c>
      <c r="G10" s="2">
        <v>6.39</v>
      </c>
      <c r="H10" s="2">
        <v>0</v>
      </c>
      <c r="I10" s="5">
        <v>567022.12</v>
      </c>
      <c r="J10" s="2" t="s">
        <v>276</v>
      </c>
      <c r="K10" s="1" t="s">
        <v>110</v>
      </c>
      <c r="L10" s="2">
        <v>6.19</v>
      </c>
      <c r="M10" s="2">
        <v>0</v>
      </c>
      <c r="N10" s="5">
        <v>1275263.71</v>
      </c>
      <c r="O10" s="2" t="s">
        <v>277</v>
      </c>
      <c r="P10" s="1" t="s">
        <v>131</v>
      </c>
      <c r="Q10" s="2">
        <v>6</v>
      </c>
      <c r="R10" s="2">
        <v>0</v>
      </c>
      <c r="S10" s="5">
        <v>2754228.7</v>
      </c>
      <c r="T10" s="2" t="s">
        <v>277</v>
      </c>
      <c r="U10" s="1" t="s">
        <v>152</v>
      </c>
      <c r="V10" s="2">
        <v>5.69</v>
      </c>
      <c r="W10" s="2">
        <v>4.5999999999999999E-2</v>
      </c>
      <c r="X10" s="5">
        <v>9673864.5</v>
      </c>
      <c r="Y10" s="2" t="s">
        <v>277</v>
      </c>
      <c r="Z10" s="1" t="s">
        <v>173</v>
      </c>
      <c r="AA10" s="2">
        <v>5.41</v>
      </c>
      <c r="AB10" s="2">
        <v>8.8999999999999996E-2</v>
      </c>
      <c r="AC10" s="5">
        <v>30088462.77</v>
      </c>
      <c r="AD10" s="2" t="s">
        <v>278</v>
      </c>
      <c r="AE10" s="1" t="s">
        <v>194</v>
      </c>
      <c r="AF10" s="2">
        <v>5.09</v>
      </c>
      <c r="AG10" s="2">
        <v>0.13700000000000001</v>
      </c>
      <c r="AH10" s="5">
        <v>110052522.14</v>
      </c>
      <c r="AI10" s="2" t="s">
        <v>278</v>
      </c>
      <c r="AJ10" s="1" t="s">
        <v>215</v>
      </c>
      <c r="AK10" s="2">
        <v>4.8099999999999996</v>
      </c>
      <c r="AL10" s="2">
        <v>0.17899999999999999</v>
      </c>
      <c r="AM10" s="2">
        <v>342294562.31999999</v>
      </c>
      <c r="AN10" s="2" t="s">
        <v>278</v>
      </c>
      <c r="AO10" s="1" t="s">
        <v>236</v>
      </c>
      <c r="AP10" s="2">
        <v>4.49</v>
      </c>
      <c r="AQ10" s="2">
        <v>0.22700000000000001</v>
      </c>
      <c r="AR10" s="2">
        <v>1251987520.6199999</v>
      </c>
      <c r="AS10" s="1" t="s">
        <v>278</v>
      </c>
    </row>
    <row r="11" spans="1:45" ht="26.25" x14ac:dyDescent="0.4">
      <c r="A11" s="1" t="s">
        <v>8</v>
      </c>
      <c r="B11" s="2">
        <v>6.6</v>
      </c>
      <c r="C11" s="2">
        <v>0</v>
      </c>
      <c r="D11" s="5">
        <v>168112.5</v>
      </c>
      <c r="E11" s="2" t="s">
        <v>275</v>
      </c>
      <c r="F11" s="1" t="s">
        <v>36</v>
      </c>
      <c r="G11" s="2">
        <v>6.41</v>
      </c>
      <c r="H11" s="2">
        <v>0</v>
      </c>
      <c r="I11" s="5">
        <v>522877.56</v>
      </c>
      <c r="J11" s="2" t="s">
        <v>276</v>
      </c>
      <c r="K11" s="1" t="s">
        <v>60</v>
      </c>
      <c r="L11" s="2">
        <v>6.17</v>
      </c>
      <c r="M11" s="2">
        <v>0</v>
      </c>
      <c r="N11" s="5">
        <v>1382929.37</v>
      </c>
      <c r="O11" s="2" t="s">
        <v>277</v>
      </c>
      <c r="P11" s="1" t="s">
        <v>66</v>
      </c>
      <c r="Q11" s="2">
        <v>5.96</v>
      </c>
      <c r="R11" s="2">
        <v>6.0000000000000001E-3</v>
      </c>
      <c r="S11" s="5">
        <v>3238918.35</v>
      </c>
      <c r="T11" s="2" t="s">
        <v>277</v>
      </c>
      <c r="U11" s="1" t="s">
        <v>72</v>
      </c>
      <c r="V11" s="2">
        <v>5.68</v>
      </c>
      <c r="W11" s="2">
        <v>4.8000000000000001E-2</v>
      </c>
      <c r="X11" s="5">
        <v>10073954.85</v>
      </c>
      <c r="Y11" s="2" t="s">
        <v>278</v>
      </c>
      <c r="Z11" s="1" t="s">
        <v>79</v>
      </c>
      <c r="AA11" s="2">
        <v>5.35</v>
      </c>
      <c r="AB11" s="2">
        <v>9.8000000000000004E-2</v>
      </c>
      <c r="AC11" s="5">
        <v>38370724.549999997</v>
      </c>
      <c r="AD11" s="2" t="s">
        <v>278</v>
      </c>
      <c r="AE11" s="1" t="s">
        <v>86</v>
      </c>
      <c r="AF11" s="2">
        <v>5.0599999999999996</v>
      </c>
      <c r="AG11" s="2">
        <v>0.14099999999999999</v>
      </c>
      <c r="AH11" s="5">
        <v>124279643.84</v>
      </c>
      <c r="AI11" s="2" t="s">
        <v>278</v>
      </c>
      <c r="AJ11" s="1" t="s">
        <v>93</v>
      </c>
      <c r="AK11" s="2">
        <v>4.79</v>
      </c>
      <c r="AL11" s="2">
        <v>0.182</v>
      </c>
      <c r="AM11" s="2">
        <v>371193190.04000002</v>
      </c>
      <c r="AN11" s="2" t="s">
        <v>278</v>
      </c>
      <c r="AO11" s="1" t="s">
        <v>100</v>
      </c>
      <c r="AP11" s="2">
        <v>4.51</v>
      </c>
      <c r="AQ11" s="2">
        <v>0.224</v>
      </c>
      <c r="AR11" s="2">
        <v>1154516116.9200001</v>
      </c>
      <c r="AS11" s="1" t="s">
        <v>278</v>
      </c>
    </row>
    <row r="12" spans="1:45" ht="26.25" x14ac:dyDescent="0.4">
      <c r="A12" s="1" t="s">
        <v>9</v>
      </c>
      <c r="B12" s="2">
        <v>6.6</v>
      </c>
      <c r="C12" s="2">
        <v>0</v>
      </c>
      <c r="D12" s="5">
        <v>168112.5</v>
      </c>
      <c r="E12" s="2" t="s">
        <v>275</v>
      </c>
      <c r="F12" s="1" t="s">
        <v>37</v>
      </c>
      <c r="G12" s="2">
        <v>6.41</v>
      </c>
      <c r="H12" s="2">
        <v>0</v>
      </c>
      <c r="I12" s="5">
        <v>522877.56</v>
      </c>
      <c r="J12" s="2" t="s">
        <v>276</v>
      </c>
      <c r="K12" s="1" t="s">
        <v>111</v>
      </c>
      <c r="L12" s="2">
        <v>6.17</v>
      </c>
      <c r="M12" s="2">
        <v>0</v>
      </c>
      <c r="N12" s="5">
        <v>1382929.37</v>
      </c>
      <c r="O12" s="2" t="s">
        <v>277</v>
      </c>
      <c r="P12" s="1" t="s">
        <v>132</v>
      </c>
      <c r="Q12" s="2">
        <v>5.96</v>
      </c>
      <c r="R12" s="2">
        <v>6.0000000000000001E-3</v>
      </c>
      <c r="S12" s="5">
        <v>3238918.35</v>
      </c>
      <c r="T12" s="2" t="s">
        <v>277</v>
      </c>
      <c r="U12" s="1" t="s">
        <v>153</v>
      </c>
      <c r="V12" s="2">
        <v>5.68</v>
      </c>
      <c r="W12" s="2">
        <v>4.8000000000000001E-2</v>
      </c>
      <c r="X12" s="5">
        <v>10073954.85</v>
      </c>
      <c r="Y12" s="2" t="s">
        <v>278</v>
      </c>
      <c r="Z12" s="1" t="s">
        <v>174</v>
      </c>
      <c r="AA12" s="2">
        <v>5.35</v>
      </c>
      <c r="AB12" s="2">
        <v>9.8000000000000004E-2</v>
      </c>
      <c r="AC12" s="5">
        <v>38370724.549999997</v>
      </c>
      <c r="AD12" s="2" t="s">
        <v>278</v>
      </c>
      <c r="AE12" s="1" t="s">
        <v>195</v>
      </c>
      <c r="AF12" s="2">
        <v>5.0599999999999996</v>
      </c>
      <c r="AG12" s="2">
        <v>0.14099999999999999</v>
      </c>
      <c r="AH12" s="5">
        <v>124279643.84</v>
      </c>
      <c r="AI12" s="2" t="s">
        <v>278</v>
      </c>
      <c r="AJ12" s="1" t="s">
        <v>216</v>
      </c>
      <c r="AK12" s="2">
        <v>4.79</v>
      </c>
      <c r="AL12" s="2">
        <v>0.182</v>
      </c>
      <c r="AM12" s="2">
        <v>371193190.04000002</v>
      </c>
      <c r="AN12" s="2" t="s">
        <v>278</v>
      </c>
      <c r="AO12" s="1" t="s">
        <v>237</v>
      </c>
      <c r="AP12" s="2">
        <v>4.51</v>
      </c>
      <c r="AQ12" s="2">
        <v>0.224</v>
      </c>
      <c r="AR12" s="2">
        <v>1154516116.9200001</v>
      </c>
      <c r="AS12" s="1" t="s">
        <v>278</v>
      </c>
    </row>
    <row r="13" spans="1:45" ht="26.25" x14ac:dyDescent="0.4">
      <c r="A13" s="1" t="s">
        <v>10</v>
      </c>
      <c r="B13" s="2">
        <v>6.6</v>
      </c>
      <c r="C13" s="2">
        <v>0</v>
      </c>
      <c r="D13" s="5">
        <v>168112.5</v>
      </c>
      <c r="E13" s="2" t="s">
        <v>275</v>
      </c>
      <c r="F13" s="1" t="s">
        <v>38</v>
      </c>
      <c r="G13" s="2">
        <v>6.41</v>
      </c>
      <c r="H13" s="2">
        <v>0</v>
      </c>
      <c r="I13" s="5">
        <v>522877.56</v>
      </c>
      <c r="J13" s="2" t="s">
        <v>276</v>
      </c>
      <c r="K13" s="1" t="s">
        <v>112</v>
      </c>
      <c r="L13" s="2">
        <v>6.17</v>
      </c>
      <c r="M13" s="2">
        <v>0</v>
      </c>
      <c r="N13" s="5">
        <v>1382929.37</v>
      </c>
      <c r="O13" s="2" t="s">
        <v>277</v>
      </c>
      <c r="P13" s="1" t="s">
        <v>133</v>
      </c>
      <c r="Q13" s="2">
        <v>5.96</v>
      </c>
      <c r="R13" s="2">
        <v>6.0000000000000001E-3</v>
      </c>
      <c r="S13" s="5">
        <v>3238918.35</v>
      </c>
      <c r="T13" s="2" t="s">
        <v>277</v>
      </c>
      <c r="U13" s="1" t="s">
        <v>154</v>
      </c>
      <c r="V13" s="2">
        <v>5.68</v>
      </c>
      <c r="W13" s="2">
        <v>4.8000000000000001E-2</v>
      </c>
      <c r="X13" s="5">
        <v>10073954.85</v>
      </c>
      <c r="Y13" s="2" t="s">
        <v>278</v>
      </c>
      <c r="Z13" s="1" t="s">
        <v>175</v>
      </c>
      <c r="AA13" s="2">
        <v>5.35</v>
      </c>
      <c r="AB13" s="2">
        <v>9.8000000000000004E-2</v>
      </c>
      <c r="AC13" s="5">
        <v>38370724.549999997</v>
      </c>
      <c r="AD13" s="2" t="s">
        <v>278</v>
      </c>
      <c r="AE13" s="1" t="s">
        <v>196</v>
      </c>
      <c r="AF13" s="2">
        <v>5.0599999999999996</v>
      </c>
      <c r="AG13" s="2">
        <v>0.14099999999999999</v>
      </c>
      <c r="AH13" s="5">
        <v>124279643.84</v>
      </c>
      <c r="AI13" s="2" t="s">
        <v>278</v>
      </c>
      <c r="AJ13" s="1" t="s">
        <v>217</v>
      </c>
      <c r="AK13" s="2">
        <v>4.79</v>
      </c>
      <c r="AL13" s="2">
        <v>0.182</v>
      </c>
      <c r="AM13" s="2">
        <v>371193190.04000002</v>
      </c>
      <c r="AN13" s="2" t="s">
        <v>278</v>
      </c>
      <c r="AO13" s="1" t="s">
        <v>238</v>
      </c>
      <c r="AP13" s="2">
        <v>4.51</v>
      </c>
      <c r="AQ13" s="2">
        <v>0.224</v>
      </c>
      <c r="AR13" s="2">
        <v>1154516116.9200001</v>
      </c>
      <c r="AS13" s="1" t="s">
        <v>278</v>
      </c>
    </row>
    <row r="14" spans="1:45" ht="26.25" x14ac:dyDescent="0.4">
      <c r="A14" s="1" t="s">
        <v>11</v>
      </c>
      <c r="B14" s="2">
        <v>6.6</v>
      </c>
      <c r="C14" s="2">
        <v>0</v>
      </c>
      <c r="D14" s="5">
        <v>168112.5</v>
      </c>
      <c r="E14" s="2" t="s">
        <v>275</v>
      </c>
      <c r="F14" s="1" t="s">
        <v>39</v>
      </c>
      <c r="G14" s="2">
        <v>6.41</v>
      </c>
      <c r="H14" s="2">
        <v>0</v>
      </c>
      <c r="I14" s="5">
        <v>522877.56</v>
      </c>
      <c r="J14" s="2" t="s">
        <v>276</v>
      </c>
      <c r="K14" s="1" t="s">
        <v>113</v>
      </c>
      <c r="L14" s="2">
        <v>6.17</v>
      </c>
      <c r="M14" s="2">
        <v>0</v>
      </c>
      <c r="N14" s="5">
        <v>1382929.37</v>
      </c>
      <c r="O14" s="2" t="s">
        <v>277</v>
      </c>
      <c r="P14" s="1" t="s">
        <v>134</v>
      </c>
      <c r="Q14" s="2">
        <v>5.96</v>
      </c>
      <c r="R14" s="2">
        <v>6.0000000000000001E-3</v>
      </c>
      <c r="S14" s="5">
        <v>3238918.35</v>
      </c>
      <c r="T14" s="2" t="s">
        <v>277</v>
      </c>
      <c r="U14" s="1" t="s">
        <v>155</v>
      </c>
      <c r="V14" s="2">
        <v>5.68</v>
      </c>
      <c r="W14" s="2">
        <v>4.8000000000000001E-2</v>
      </c>
      <c r="X14" s="5">
        <v>10073954.85</v>
      </c>
      <c r="Y14" s="2" t="s">
        <v>278</v>
      </c>
      <c r="Z14" s="1" t="s">
        <v>176</v>
      </c>
      <c r="AA14" s="2">
        <v>5.35</v>
      </c>
      <c r="AB14" s="2">
        <v>9.8000000000000004E-2</v>
      </c>
      <c r="AC14" s="5">
        <v>38370724.549999997</v>
      </c>
      <c r="AD14" s="2" t="s">
        <v>278</v>
      </c>
      <c r="AE14" s="1" t="s">
        <v>197</v>
      </c>
      <c r="AF14" s="2">
        <v>5.0599999999999996</v>
      </c>
      <c r="AG14" s="2">
        <v>0.14099999999999999</v>
      </c>
      <c r="AH14" s="5">
        <v>124279643.84</v>
      </c>
      <c r="AI14" s="2" t="s">
        <v>278</v>
      </c>
      <c r="AJ14" s="1" t="s">
        <v>218</v>
      </c>
      <c r="AK14" s="2">
        <v>4.79</v>
      </c>
      <c r="AL14" s="2">
        <v>0.182</v>
      </c>
      <c r="AM14" s="2">
        <v>371193190.04000002</v>
      </c>
      <c r="AN14" s="2" t="s">
        <v>278</v>
      </c>
      <c r="AO14" s="1" t="s">
        <v>239</v>
      </c>
      <c r="AP14" s="2">
        <v>4.51</v>
      </c>
      <c r="AQ14" s="2">
        <v>0.224</v>
      </c>
      <c r="AR14" s="2">
        <v>1154516116.9200001</v>
      </c>
      <c r="AS14" s="1" t="s">
        <v>278</v>
      </c>
    </row>
    <row r="15" spans="1:45" ht="26.25" x14ac:dyDescent="0.4">
      <c r="A15" s="1" t="s">
        <v>12</v>
      </c>
      <c r="B15" s="2">
        <v>6.59</v>
      </c>
      <c r="C15" s="2">
        <v>0</v>
      </c>
      <c r="D15" s="5">
        <v>182305.6</v>
      </c>
      <c r="E15" s="2" t="s">
        <v>275</v>
      </c>
      <c r="F15" s="1" t="s">
        <v>40</v>
      </c>
      <c r="G15" s="2">
        <v>6.39</v>
      </c>
      <c r="H15" s="2">
        <v>0</v>
      </c>
      <c r="I15" s="5">
        <v>567022.12</v>
      </c>
      <c r="J15" s="2" t="s">
        <v>276</v>
      </c>
      <c r="K15" s="1" t="s">
        <v>61</v>
      </c>
      <c r="L15" s="2">
        <v>6.21</v>
      </c>
      <c r="M15" s="2">
        <v>0</v>
      </c>
      <c r="N15" s="5">
        <v>1175980.17</v>
      </c>
      <c r="O15" s="2" t="s">
        <v>277</v>
      </c>
      <c r="P15" s="1" t="s">
        <v>67</v>
      </c>
      <c r="Q15" s="2">
        <v>5.99</v>
      </c>
      <c r="R15" s="2">
        <v>2E-3</v>
      </c>
      <c r="S15" s="5">
        <v>2868137.71</v>
      </c>
      <c r="T15" s="2" t="s">
        <v>277</v>
      </c>
      <c r="U15" s="1" t="s">
        <v>73</v>
      </c>
      <c r="V15" s="2">
        <v>5.75</v>
      </c>
      <c r="W15" s="2">
        <v>3.7999999999999999E-2</v>
      </c>
      <c r="X15" s="5">
        <v>7585775.75</v>
      </c>
      <c r="Y15" s="2" t="s">
        <v>277</v>
      </c>
      <c r="Z15" s="1" t="s">
        <v>80</v>
      </c>
      <c r="AA15" s="2">
        <v>5.37</v>
      </c>
      <c r="AB15" s="2">
        <v>9.5000000000000001E-2</v>
      </c>
      <c r="AC15" s="5">
        <v>35383435.68</v>
      </c>
      <c r="AD15" s="2" t="s">
        <v>278</v>
      </c>
      <c r="AE15" s="1" t="s">
        <v>87</v>
      </c>
      <c r="AF15" s="2">
        <v>5.08</v>
      </c>
      <c r="AG15" s="2">
        <v>0.13800000000000001</v>
      </c>
      <c r="AH15" s="5">
        <v>114604059.11</v>
      </c>
      <c r="AI15" s="2" t="s">
        <v>278</v>
      </c>
      <c r="AJ15" s="1" t="s">
        <v>94</v>
      </c>
      <c r="AK15" s="2">
        <v>4.78</v>
      </c>
      <c r="AL15" s="2">
        <v>0.183</v>
      </c>
      <c r="AM15" s="2">
        <v>386544946.60000002</v>
      </c>
      <c r="AN15" s="2" t="s">
        <v>278</v>
      </c>
      <c r="AO15" s="1" t="s">
        <v>101</v>
      </c>
      <c r="AP15" s="2">
        <v>4.5199999999999996</v>
      </c>
      <c r="AQ15" s="2">
        <v>0.222</v>
      </c>
      <c r="AR15" s="2">
        <v>1108664138.98</v>
      </c>
      <c r="AS15" s="1" t="s">
        <v>278</v>
      </c>
    </row>
    <row r="16" spans="1:45" ht="26.25" x14ac:dyDescent="0.4">
      <c r="A16" s="1" t="s">
        <v>13</v>
      </c>
      <c r="B16" s="2">
        <v>6.59</v>
      </c>
      <c r="C16" s="2">
        <v>0</v>
      </c>
      <c r="D16" s="5">
        <v>182305.6</v>
      </c>
      <c r="E16" s="2" t="s">
        <v>275</v>
      </c>
      <c r="F16" s="1" t="s">
        <v>41</v>
      </c>
      <c r="G16" s="2">
        <v>6.39</v>
      </c>
      <c r="H16" s="2">
        <v>0</v>
      </c>
      <c r="I16" s="5">
        <v>567022.12</v>
      </c>
      <c r="J16" s="2" t="s">
        <v>276</v>
      </c>
      <c r="K16" s="1" t="s">
        <v>114</v>
      </c>
      <c r="L16" s="2">
        <v>6.21</v>
      </c>
      <c r="M16" s="2">
        <v>0</v>
      </c>
      <c r="N16" s="5">
        <v>1175980.17</v>
      </c>
      <c r="O16" s="2" t="s">
        <v>277</v>
      </c>
      <c r="P16" s="1" t="s">
        <v>135</v>
      </c>
      <c r="Q16" s="2">
        <v>5.99</v>
      </c>
      <c r="R16" s="2">
        <v>2E-3</v>
      </c>
      <c r="S16" s="5">
        <v>2868137.71</v>
      </c>
      <c r="T16" s="2" t="s">
        <v>277</v>
      </c>
      <c r="U16" s="1" t="s">
        <v>156</v>
      </c>
      <c r="V16" s="2">
        <v>5.75</v>
      </c>
      <c r="W16" s="2">
        <v>3.7999999999999999E-2</v>
      </c>
      <c r="X16" s="5">
        <v>7585775.75</v>
      </c>
      <c r="Y16" s="2" t="s">
        <v>277</v>
      </c>
      <c r="Z16" s="1" t="s">
        <v>177</v>
      </c>
      <c r="AA16" s="2">
        <v>5.37</v>
      </c>
      <c r="AB16" s="2">
        <v>9.5000000000000001E-2</v>
      </c>
      <c r="AC16" s="5">
        <v>35383435.68</v>
      </c>
      <c r="AD16" s="2" t="s">
        <v>278</v>
      </c>
      <c r="AE16" s="1" t="s">
        <v>198</v>
      </c>
      <c r="AF16" s="2">
        <v>5.08</v>
      </c>
      <c r="AG16" s="2">
        <v>0.13800000000000001</v>
      </c>
      <c r="AH16" s="5">
        <v>114604059.11</v>
      </c>
      <c r="AI16" s="2" t="s">
        <v>278</v>
      </c>
      <c r="AJ16" s="1" t="s">
        <v>219</v>
      </c>
      <c r="AK16" s="2">
        <v>4.78</v>
      </c>
      <c r="AL16" s="2">
        <v>0.183</v>
      </c>
      <c r="AM16" s="2">
        <v>386544946.60000002</v>
      </c>
      <c r="AN16" s="2" t="s">
        <v>278</v>
      </c>
      <c r="AO16" s="1" t="s">
        <v>240</v>
      </c>
      <c r="AP16" s="2">
        <v>4.5199999999999996</v>
      </c>
      <c r="AQ16" s="2">
        <v>0.222</v>
      </c>
      <c r="AR16" s="2">
        <v>1108664138.98</v>
      </c>
      <c r="AS16" s="1" t="s">
        <v>278</v>
      </c>
    </row>
    <row r="17" spans="1:45" ht="26.25" x14ac:dyDescent="0.4">
      <c r="A17" s="1" t="s">
        <v>14</v>
      </c>
      <c r="B17" s="2">
        <v>6.59</v>
      </c>
      <c r="C17" s="2">
        <v>0</v>
      </c>
      <c r="D17" s="5">
        <v>182305.6</v>
      </c>
      <c r="E17" s="2" t="s">
        <v>275</v>
      </c>
      <c r="F17" s="1" t="s">
        <v>42</v>
      </c>
      <c r="G17" s="2">
        <v>6.39</v>
      </c>
      <c r="H17" s="2">
        <v>0</v>
      </c>
      <c r="I17" s="5">
        <v>567022.12</v>
      </c>
      <c r="J17" s="2" t="s">
        <v>276</v>
      </c>
      <c r="K17" s="1" t="s">
        <v>115</v>
      </c>
      <c r="L17" s="2">
        <v>6.21</v>
      </c>
      <c r="M17" s="2">
        <v>0</v>
      </c>
      <c r="N17" s="5">
        <v>1175980.17</v>
      </c>
      <c r="O17" s="2" t="s">
        <v>277</v>
      </c>
      <c r="P17" s="1" t="s">
        <v>136</v>
      </c>
      <c r="Q17" s="2">
        <v>5.99</v>
      </c>
      <c r="R17" s="2">
        <v>2E-3</v>
      </c>
      <c r="S17" s="5">
        <v>2868137.71</v>
      </c>
      <c r="T17" s="2" t="s">
        <v>277</v>
      </c>
      <c r="U17" s="1" t="s">
        <v>157</v>
      </c>
      <c r="V17" s="2">
        <v>5.75</v>
      </c>
      <c r="W17" s="2">
        <v>3.7999999999999999E-2</v>
      </c>
      <c r="X17" s="5">
        <v>7585775.75</v>
      </c>
      <c r="Y17" s="2" t="s">
        <v>277</v>
      </c>
      <c r="Z17" s="1" t="s">
        <v>178</v>
      </c>
      <c r="AA17" s="2">
        <v>5.37</v>
      </c>
      <c r="AB17" s="2">
        <v>9.5000000000000001E-2</v>
      </c>
      <c r="AC17" s="5">
        <v>35383435.68</v>
      </c>
      <c r="AD17" s="2" t="s">
        <v>278</v>
      </c>
      <c r="AE17" s="1" t="s">
        <v>199</v>
      </c>
      <c r="AF17" s="2">
        <v>5.08</v>
      </c>
      <c r="AG17" s="2">
        <v>0.13800000000000001</v>
      </c>
      <c r="AH17" s="5">
        <v>114604059.11</v>
      </c>
      <c r="AI17" s="2" t="s">
        <v>278</v>
      </c>
      <c r="AJ17" s="1" t="s">
        <v>220</v>
      </c>
      <c r="AK17" s="2">
        <v>4.78</v>
      </c>
      <c r="AL17" s="2">
        <v>0.183</v>
      </c>
      <c r="AM17" s="2">
        <v>386544946.60000002</v>
      </c>
      <c r="AN17" s="2" t="s">
        <v>278</v>
      </c>
      <c r="AO17" s="1" t="s">
        <v>241</v>
      </c>
      <c r="AP17" s="2">
        <v>4.5199999999999996</v>
      </c>
      <c r="AQ17" s="2">
        <v>0.222</v>
      </c>
      <c r="AR17" s="2">
        <v>1108664138.98</v>
      </c>
      <c r="AS17" s="1" t="s">
        <v>278</v>
      </c>
    </row>
    <row r="18" spans="1:45" ht="26.25" x14ac:dyDescent="0.4">
      <c r="A18" s="1" t="s">
        <v>15</v>
      </c>
      <c r="B18" s="2">
        <v>6.59</v>
      </c>
      <c r="C18" s="2">
        <v>0</v>
      </c>
      <c r="D18" s="5">
        <v>182305.6</v>
      </c>
      <c r="E18" s="2" t="s">
        <v>275</v>
      </c>
      <c r="F18" s="1" t="s">
        <v>43</v>
      </c>
      <c r="G18" s="2">
        <v>6.39</v>
      </c>
      <c r="H18" s="2">
        <v>0</v>
      </c>
      <c r="I18" s="5">
        <v>567022.12</v>
      </c>
      <c r="J18" s="2" t="s">
        <v>276</v>
      </c>
      <c r="K18" s="1" t="s">
        <v>116</v>
      </c>
      <c r="L18" s="2">
        <v>6.21</v>
      </c>
      <c r="M18" s="2">
        <v>0</v>
      </c>
      <c r="N18" s="5">
        <v>1175980.17</v>
      </c>
      <c r="O18" s="2" t="s">
        <v>277</v>
      </c>
      <c r="P18" s="1" t="s">
        <v>137</v>
      </c>
      <c r="Q18" s="2">
        <v>5.99</v>
      </c>
      <c r="R18" s="2">
        <v>2E-3</v>
      </c>
      <c r="S18" s="5">
        <v>2868137.71</v>
      </c>
      <c r="T18" s="2" t="s">
        <v>277</v>
      </c>
      <c r="U18" s="1" t="s">
        <v>158</v>
      </c>
      <c r="V18" s="2">
        <v>5.75</v>
      </c>
      <c r="W18" s="2">
        <v>3.7999999999999999E-2</v>
      </c>
      <c r="X18" s="5">
        <v>7585775.75</v>
      </c>
      <c r="Y18" s="2" t="s">
        <v>277</v>
      </c>
      <c r="Z18" s="1" t="s">
        <v>179</v>
      </c>
      <c r="AA18" s="2">
        <v>5.37</v>
      </c>
      <c r="AB18" s="2">
        <v>9.5000000000000001E-2</v>
      </c>
      <c r="AC18" s="5">
        <v>35383435.68</v>
      </c>
      <c r="AD18" s="2" t="s">
        <v>278</v>
      </c>
      <c r="AE18" s="1" t="s">
        <v>200</v>
      </c>
      <c r="AF18" s="2">
        <v>5.08</v>
      </c>
      <c r="AG18" s="2">
        <v>0.13800000000000001</v>
      </c>
      <c r="AH18" s="5">
        <v>114604059.11</v>
      </c>
      <c r="AI18" s="2" t="s">
        <v>278</v>
      </c>
      <c r="AJ18" s="1" t="s">
        <v>221</v>
      </c>
      <c r="AK18" s="2">
        <v>4.78</v>
      </c>
      <c r="AL18" s="2">
        <v>0.183</v>
      </c>
      <c r="AM18" s="2">
        <v>386544946.60000002</v>
      </c>
      <c r="AN18" s="2" t="s">
        <v>278</v>
      </c>
      <c r="AO18" s="1" t="s">
        <v>242</v>
      </c>
      <c r="AP18" s="2">
        <v>4.5199999999999996</v>
      </c>
      <c r="AQ18" s="2">
        <v>0.222</v>
      </c>
      <c r="AR18" s="2">
        <v>1108664138.98</v>
      </c>
      <c r="AS18" s="1" t="s">
        <v>278</v>
      </c>
    </row>
    <row r="19" spans="1:45" ht="26.25" x14ac:dyDescent="0.4">
      <c r="A19" s="1" t="s">
        <v>16</v>
      </c>
      <c r="B19" s="2">
        <v>6.53</v>
      </c>
      <c r="C19" s="2">
        <v>0</v>
      </c>
      <c r="D19" s="5">
        <v>205873.29</v>
      </c>
      <c r="E19" s="2" t="s">
        <v>275</v>
      </c>
      <c r="F19" s="1" t="s">
        <v>44</v>
      </c>
      <c r="G19" s="2">
        <v>6.39</v>
      </c>
      <c r="H19" s="2">
        <v>0</v>
      </c>
      <c r="I19" s="5">
        <v>617022.12</v>
      </c>
      <c r="J19" s="2" t="s">
        <v>276</v>
      </c>
      <c r="K19" s="1" t="s">
        <v>62</v>
      </c>
      <c r="L19" s="2">
        <v>6.18</v>
      </c>
      <c r="M19" s="2">
        <v>0</v>
      </c>
      <c r="N19" s="5">
        <v>1328005.8899999999</v>
      </c>
      <c r="O19" s="2" t="s">
        <v>277</v>
      </c>
      <c r="P19" s="1" t="s">
        <v>68</v>
      </c>
      <c r="Q19" s="2">
        <v>6</v>
      </c>
      <c r="R19" s="2">
        <v>0</v>
      </c>
      <c r="S19" s="5">
        <v>2754228.7</v>
      </c>
      <c r="T19" s="2" t="s">
        <v>277</v>
      </c>
      <c r="U19" s="1" t="s">
        <v>74</v>
      </c>
      <c r="V19" s="2">
        <v>5.7</v>
      </c>
      <c r="W19" s="2">
        <v>4.4999999999999998E-2</v>
      </c>
      <c r="X19" s="5">
        <v>9289663.8699999992</v>
      </c>
      <c r="Y19" s="2" t="s">
        <v>277</v>
      </c>
      <c r="Z19" s="1" t="s">
        <v>81</v>
      </c>
      <c r="AA19" s="2">
        <v>5.4</v>
      </c>
      <c r="AB19" s="2">
        <v>0.09</v>
      </c>
      <c r="AC19" s="5">
        <v>31332857.239999998</v>
      </c>
      <c r="AD19" s="2" t="s">
        <v>278</v>
      </c>
      <c r="AE19" s="1" t="s">
        <v>88</v>
      </c>
      <c r="AF19" s="2">
        <v>5.09</v>
      </c>
      <c r="AG19" s="2">
        <v>0.13700000000000001</v>
      </c>
      <c r="AH19" s="5">
        <v>110052522.14</v>
      </c>
      <c r="AI19" s="2" t="s">
        <v>278</v>
      </c>
      <c r="AJ19" s="1" t="s">
        <v>95</v>
      </c>
      <c r="AK19" s="2">
        <v>4.82</v>
      </c>
      <c r="AL19" s="2">
        <v>0.17699999999999999</v>
      </c>
      <c r="AM19" s="2">
        <v>328700223.97000003</v>
      </c>
      <c r="AN19" s="2" t="s">
        <v>278</v>
      </c>
      <c r="AO19" s="1" t="s">
        <v>102</v>
      </c>
      <c r="AP19" s="2">
        <v>4.49</v>
      </c>
      <c r="AQ19" s="2">
        <v>0.22700000000000001</v>
      </c>
      <c r="AR19" s="2">
        <v>1251987520.6199999</v>
      </c>
      <c r="AS19" s="1" t="s">
        <v>278</v>
      </c>
    </row>
    <row r="20" spans="1:45" ht="26.25" x14ac:dyDescent="0.4">
      <c r="A20" s="1" t="s">
        <v>17</v>
      </c>
      <c r="B20" s="2">
        <v>6.53</v>
      </c>
      <c r="C20" s="2">
        <v>0</v>
      </c>
      <c r="D20" s="5">
        <v>205873.29</v>
      </c>
      <c r="E20" s="2" t="s">
        <v>275</v>
      </c>
      <c r="F20" s="1" t="s">
        <v>45</v>
      </c>
      <c r="G20" s="2">
        <v>6.39</v>
      </c>
      <c r="H20" s="2">
        <v>0</v>
      </c>
      <c r="I20" s="5">
        <v>617022.12</v>
      </c>
      <c r="J20" s="2" t="s">
        <v>276</v>
      </c>
      <c r="K20" s="1" t="s">
        <v>117</v>
      </c>
      <c r="L20" s="2">
        <v>6.18</v>
      </c>
      <c r="M20" s="2">
        <v>0</v>
      </c>
      <c r="N20" s="5">
        <v>1328005.8899999999</v>
      </c>
      <c r="O20" s="2" t="s">
        <v>277</v>
      </c>
      <c r="P20" s="1" t="s">
        <v>138</v>
      </c>
      <c r="Q20" s="2">
        <v>6</v>
      </c>
      <c r="R20" s="2">
        <v>0</v>
      </c>
      <c r="S20" s="5">
        <v>2754228.7</v>
      </c>
      <c r="T20" s="2" t="s">
        <v>277</v>
      </c>
      <c r="U20" s="1" t="s">
        <v>159</v>
      </c>
      <c r="V20" s="2">
        <v>5.7</v>
      </c>
      <c r="W20" s="2">
        <v>4.4999999999999998E-2</v>
      </c>
      <c r="X20" s="5">
        <v>9289663.8699999992</v>
      </c>
      <c r="Y20" s="2" t="s">
        <v>277</v>
      </c>
      <c r="Z20" s="1" t="s">
        <v>180</v>
      </c>
      <c r="AA20" s="2">
        <v>5.4</v>
      </c>
      <c r="AB20" s="2">
        <v>0.09</v>
      </c>
      <c r="AC20" s="5">
        <v>31332857.239999998</v>
      </c>
      <c r="AD20" s="2" t="s">
        <v>278</v>
      </c>
      <c r="AE20" s="1" t="s">
        <v>201</v>
      </c>
      <c r="AF20" s="2">
        <v>5.09</v>
      </c>
      <c r="AG20" s="2">
        <v>0.13700000000000001</v>
      </c>
      <c r="AH20" s="5">
        <v>110052522.14</v>
      </c>
      <c r="AI20" s="2" t="s">
        <v>278</v>
      </c>
      <c r="AJ20" s="1" t="s">
        <v>222</v>
      </c>
      <c r="AK20" s="2">
        <v>4.82</v>
      </c>
      <c r="AL20" s="2">
        <v>0.17699999999999999</v>
      </c>
      <c r="AM20" s="2">
        <v>328700223.97000003</v>
      </c>
      <c r="AN20" s="2" t="s">
        <v>278</v>
      </c>
      <c r="AO20" s="1" t="s">
        <v>243</v>
      </c>
      <c r="AP20" s="2">
        <v>4.49</v>
      </c>
      <c r="AQ20" s="2">
        <v>0.22700000000000001</v>
      </c>
      <c r="AR20" s="2">
        <v>1251987520.6199999</v>
      </c>
      <c r="AS20" s="1" t="s">
        <v>278</v>
      </c>
    </row>
    <row r="21" spans="1:45" ht="26.25" x14ac:dyDescent="0.4">
      <c r="A21" s="1" t="s">
        <v>18</v>
      </c>
      <c r="B21" s="2">
        <v>6.53</v>
      </c>
      <c r="C21" s="2">
        <v>0</v>
      </c>
      <c r="D21" s="5">
        <v>205873.29</v>
      </c>
      <c r="E21" s="2" t="s">
        <v>275</v>
      </c>
      <c r="F21" s="1" t="s">
        <v>46</v>
      </c>
      <c r="G21" s="2">
        <v>6.39</v>
      </c>
      <c r="H21" s="2">
        <v>0</v>
      </c>
      <c r="I21" s="5">
        <v>617022.12</v>
      </c>
      <c r="J21" s="2" t="s">
        <v>276</v>
      </c>
      <c r="K21" s="1" t="s">
        <v>118</v>
      </c>
      <c r="L21" s="2">
        <v>6.18</v>
      </c>
      <c r="M21" s="2">
        <v>0</v>
      </c>
      <c r="N21" s="5">
        <v>1328005.8899999999</v>
      </c>
      <c r="O21" s="2" t="s">
        <v>277</v>
      </c>
      <c r="P21" s="1" t="s">
        <v>139</v>
      </c>
      <c r="Q21" s="2">
        <v>6</v>
      </c>
      <c r="R21" s="2">
        <v>0</v>
      </c>
      <c r="S21" s="5">
        <v>2754228.7</v>
      </c>
      <c r="T21" s="2" t="s">
        <v>277</v>
      </c>
      <c r="U21" s="1" t="s">
        <v>160</v>
      </c>
      <c r="V21" s="2">
        <v>5.7</v>
      </c>
      <c r="W21" s="2">
        <v>4.4999999999999998E-2</v>
      </c>
      <c r="X21" s="5">
        <v>9289663.8699999992</v>
      </c>
      <c r="Y21" s="2" t="s">
        <v>277</v>
      </c>
      <c r="Z21" s="1" t="s">
        <v>181</v>
      </c>
      <c r="AA21" s="2">
        <v>5.4</v>
      </c>
      <c r="AB21" s="2">
        <v>0.09</v>
      </c>
      <c r="AC21" s="5">
        <v>31332857.239999998</v>
      </c>
      <c r="AD21" s="2" t="s">
        <v>278</v>
      </c>
      <c r="AE21" s="1" t="s">
        <v>202</v>
      </c>
      <c r="AF21" s="2">
        <v>5.09</v>
      </c>
      <c r="AG21" s="2">
        <v>0.13700000000000001</v>
      </c>
      <c r="AH21" s="5">
        <v>110052522.14</v>
      </c>
      <c r="AI21" s="2" t="s">
        <v>278</v>
      </c>
      <c r="AJ21" s="1" t="s">
        <v>223</v>
      </c>
      <c r="AK21" s="2">
        <v>4.82</v>
      </c>
      <c r="AL21" s="2">
        <v>0.17699999999999999</v>
      </c>
      <c r="AM21" s="2">
        <v>328700223.97000003</v>
      </c>
      <c r="AN21" s="2" t="s">
        <v>278</v>
      </c>
      <c r="AO21" s="1" t="s">
        <v>244</v>
      </c>
      <c r="AP21" s="2">
        <v>4.49</v>
      </c>
      <c r="AQ21" s="2">
        <v>0.22700000000000001</v>
      </c>
      <c r="AR21" s="2">
        <v>1251987520.6199999</v>
      </c>
      <c r="AS21" s="1" t="s">
        <v>278</v>
      </c>
    </row>
    <row r="22" spans="1:45" ht="26.25" x14ac:dyDescent="0.4">
      <c r="A22" s="1" t="s">
        <v>19</v>
      </c>
      <c r="B22" s="2">
        <v>6.53</v>
      </c>
      <c r="C22" s="2">
        <v>0</v>
      </c>
      <c r="D22" s="5">
        <v>205873.29</v>
      </c>
      <c r="E22" s="2" t="s">
        <v>275</v>
      </c>
      <c r="F22" s="1" t="s">
        <v>47</v>
      </c>
      <c r="G22" s="2">
        <v>6.39</v>
      </c>
      <c r="H22" s="2">
        <v>0</v>
      </c>
      <c r="I22" s="5">
        <v>617022.12</v>
      </c>
      <c r="J22" s="2" t="s">
        <v>276</v>
      </c>
      <c r="K22" s="1" t="s">
        <v>119</v>
      </c>
      <c r="L22" s="2">
        <v>6.18</v>
      </c>
      <c r="M22" s="2">
        <v>0</v>
      </c>
      <c r="N22" s="5">
        <v>1328005.8899999999</v>
      </c>
      <c r="O22" s="2" t="s">
        <v>277</v>
      </c>
      <c r="P22" s="1" t="s">
        <v>140</v>
      </c>
      <c r="Q22" s="2">
        <v>6</v>
      </c>
      <c r="R22" s="2">
        <v>0</v>
      </c>
      <c r="S22" s="5">
        <v>2754228.7</v>
      </c>
      <c r="T22" s="2" t="s">
        <v>277</v>
      </c>
      <c r="U22" s="1" t="s">
        <v>161</v>
      </c>
      <c r="V22" s="2">
        <v>5.7</v>
      </c>
      <c r="W22" s="2">
        <v>4.4999999999999998E-2</v>
      </c>
      <c r="X22" s="5">
        <v>9289663.8699999992</v>
      </c>
      <c r="Y22" s="2" t="s">
        <v>277</v>
      </c>
      <c r="Z22" s="1" t="s">
        <v>182</v>
      </c>
      <c r="AA22" s="2">
        <v>5.4</v>
      </c>
      <c r="AB22" s="2">
        <v>0.09</v>
      </c>
      <c r="AC22" s="5">
        <v>31332857.239999998</v>
      </c>
      <c r="AD22" s="2" t="s">
        <v>278</v>
      </c>
      <c r="AE22" s="1" t="s">
        <v>203</v>
      </c>
      <c r="AF22" s="2">
        <v>5.09</v>
      </c>
      <c r="AG22" s="2">
        <v>0.13700000000000001</v>
      </c>
      <c r="AH22" s="5">
        <v>110052522.14</v>
      </c>
      <c r="AI22" s="2" t="s">
        <v>278</v>
      </c>
      <c r="AJ22" s="1" t="s">
        <v>224</v>
      </c>
      <c r="AK22" s="2">
        <v>4.82</v>
      </c>
      <c r="AL22" s="2">
        <v>0.17699999999999999</v>
      </c>
      <c r="AM22" s="2">
        <v>328700223.97000003</v>
      </c>
      <c r="AN22" s="2" t="s">
        <v>278</v>
      </c>
      <c r="AO22" s="1" t="s">
        <v>245</v>
      </c>
      <c r="AP22" s="2">
        <v>4.49</v>
      </c>
      <c r="AQ22" s="2">
        <v>0.22700000000000001</v>
      </c>
      <c r="AR22" s="2">
        <v>1251987520.6199999</v>
      </c>
      <c r="AS22" s="1" t="s">
        <v>278</v>
      </c>
    </row>
    <row r="23" spans="1:45" ht="26.25" x14ac:dyDescent="0.4">
      <c r="A23" s="1" t="s">
        <v>20</v>
      </c>
      <c r="B23" s="2">
        <v>6.57</v>
      </c>
      <c r="C23" s="2">
        <v>0</v>
      </c>
      <c r="D23" s="5">
        <v>197696.96</v>
      </c>
      <c r="E23" s="2" t="s">
        <v>275</v>
      </c>
      <c r="F23" s="1" t="s">
        <v>48</v>
      </c>
      <c r="G23" s="2">
        <v>6.41</v>
      </c>
      <c r="H23" s="2">
        <v>0</v>
      </c>
      <c r="I23" s="5">
        <v>502877.56</v>
      </c>
      <c r="J23" s="2" t="s">
        <v>276</v>
      </c>
      <c r="K23" s="1" t="s">
        <v>63</v>
      </c>
      <c r="L23" s="2">
        <v>6.16</v>
      </c>
      <c r="M23" s="2">
        <v>0</v>
      </c>
      <c r="N23" s="5">
        <v>1440124.37</v>
      </c>
      <c r="O23" s="2" t="s">
        <v>277</v>
      </c>
      <c r="P23" s="1" t="s">
        <v>69</v>
      </c>
      <c r="Q23" s="2">
        <v>5.97</v>
      </c>
      <c r="R23" s="2">
        <v>5.0000000000000001E-3</v>
      </c>
      <c r="S23" s="5">
        <v>3110283.67</v>
      </c>
      <c r="T23" s="2" t="s">
        <v>277</v>
      </c>
      <c r="U23" s="1" t="s">
        <v>75</v>
      </c>
      <c r="V23" s="2">
        <v>5.67</v>
      </c>
      <c r="W23" s="2">
        <v>0.05</v>
      </c>
      <c r="X23" s="5">
        <v>10490592.08</v>
      </c>
      <c r="Y23" s="2" t="s">
        <v>278</v>
      </c>
      <c r="Z23" s="1" t="s">
        <v>82</v>
      </c>
      <c r="AA23" s="2">
        <v>5.42</v>
      </c>
      <c r="AB23" s="2">
        <v>8.6999999999999994E-2</v>
      </c>
      <c r="AC23" s="5">
        <v>28893489.82</v>
      </c>
      <c r="AD23" s="2" t="s">
        <v>278</v>
      </c>
      <c r="AE23" s="1" t="s">
        <v>89</v>
      </c>
      <c r="AF23" s="2">
        <v>5.13</v>
      </c>
      <c r="AG23" s="2">
        <v>0.13100000000000001</v>
      </c>
      <c r="AH23" s="5">
        <v>93583654.359999999</v>
      </c>
      <c r="AI23" s="2" t="s">
        <v>278</v>
      </c>
      <c r="AJ23" s="1" t="s">
        <v>96</v>
      </c>
      <c r="AK23" s="2">
        <v>4.83</v>
      </c>
      <c r="AL23" s="2">
        <v>0.17599999999999999</v>
      </c>
      <c r="AM23" s="2">
        <v>315645789.13</v>
      </c>
      <c r="AN23" s="2" t="s">
        <v>278</v>
      </c>
      <c r="AO23" s="1" t="s">
        <v>103</v>
      </c>
      <c r="AP23" s="2">
        <v>4.5</v>
      </c>
      <c r="AQ23" s="2">
        <v>0.22500000000000001</v>
      </c>
      <c r="AR23" s="2">
        <v>1202264434.6199999</v>
      </c>
      <c r="AS23" s="1" t="s">
        <v>278</v>
      </c>
    </row>
    <row r="24" spans="1:45" ht="26.25" x14ac:dyDescent="0.4">
      <c r="A24" s="1" t="s">
        <v>21</v>
      </c>
      <c r="B24" s="2">
        <v>6.57</v>
      </c>
      <c r="C24" s="2">
        <v>0</v>
      </c>
      <c r="D24" s="5">
        <v>197696.96</v>
      </c>
      <c r="E24" s="2" t="s">
        <v>275</v>
      </c>
      <c r="F24" s="1" t="s">
        <v>49</v>
      </c>
      <c r="G24" s="2">
        <v>6.41</v>
      </c>
      <c r="H24" s="2">
        <v>0</v>
      </c>
      <c r="I24" s="5">
        <v>502877.56</v>
      </c>
      <c r="J24" s="2" t="s">
        <v>276</v>
      </c>
      <c r="K24" s="1" t="s">
        <v>120</v>
      </c>
      <c r="L24" s="2">
        <v>6.16</v>
      </c>
      <c r="M24" s="2">
        <v>0</v>
      </c>
      <c r="N24" s="5">
        <v>1440124.37</v>
      </c>
      <c r="O24" s="2" t="s">
        <v>277</v>
      </c>
      <c r="P24" s="1" t="s">
        <v>141</v>
      </c>
      <c r="Q24" s="2">
        <v>5.97</v>
      </c>
      <c r="R24" s="2">
        <v>5.0000000000000001E-3</v>
      </c>
      <c r="S24" s="5">
        <v>3110283.67</v>
      </c>
      <c r="T24" s="2" t="s">
        <v>277</v>
      </c>
      <c r="U24" s="1" t="s">
        <v>162</v>
      </c>
      <c r="V24" s="2">
        <v>5.67</v>
      </c>
      <c r="W24" s="2">
        <v>0.05</v>
      </c>
      <c r="X24" s="5">
        <v>10490592.08</v>
      </c>
      <c r="Y24" s="2" t="s">
        <v>278</v>
      </c>
      <c r="Z24" s="1" t="s">
        <v>183</v>
      </c>
      <c r="AA24" s="2">
        <v>5.42</v>
      </c>
      <c r="AB24" s="2">
        <v>8.6999999999999994E-2</v>
      </c>
      <c r="AC24" s="5">
        <v>28893489.82</v>
      </c>
      <c r="AD24" s="2" t="s">
        <v>278</v>
      </c>
      <c r="AE24" s="1" t="s">
        <v>204</v>
      </c>
      <c r="AF24" s="2">
        <v>5.13</v>
      </c>
      <c r="AG24" s="2">
        <v>0.13100000000000001</v>
      </c>
      <c r="AH24" s="5">
        <v>93583654.359999999</v>
      </c>
      <c r="AI24" s="2" t="s">
        <v>278</v>
      </c>
      <c r="AJ24" s="1" t="s">
        <v>225</v>
      </c>
      <c r="AK24" s="2">
        <v>4.83</v>
      </c>
      <c r="AL24" s="2">
        <v>0.17599999999999999</v>
      </c>
      <c r="AM24" s="2">
        <v>315645789.13</v>
      </c>
      <c r="AN24" s="2" t="s">
        <v>278</v>
      </c>
      <c r="AO24" s="1" t="s">
        <v>246</v>
      </c>
      <c r="AP24" s="2">
        <v>4.5</v>
      </c>
      <c r="AQ24" s="2">
        <v>0.22500000000000001</v>
      </c>
      <c r="AR24" s="2">
        <v>1202264434.6199999</v>
      </c>
      <c r="AS24" s="1" t="s">
        <v>278</v>
      </c>
    </row>
    <row r="25" spans="1:45" ht="26.25" x14ac:dyDescent="0.4">
      <c r="A25" s="1" t="s">
        <v>22</v>
      </c>
      <c r="B25" s="2">
        <v>6.57</v>
      </c>
      <c r="C25" s="2">
        <v>0</v>
      </c>
      <c r="D25" s="5">
        <v>197696.96</v>
      </c>
      <c r="E25" s="2" t="s">
        <v>275</v>
      </c>
      <c r="F25" s="1" t="s">
        <v>50</v>
      </c>
      <c r="G25" s="2">
        <v>6.41</v>
      </c>
      <c r="H25" s="2">
        <v>0</v>
      </c>
      <c r="I25" s="5">
        <v>502877.56</v>
      </c>
      <c r="J25" s="2" t="s">
        <v>276</v>
      </c>
      <c r="K25" s="1" t="s">
        <v>121</v>
      </c>
      <c r="L25" s="2">
        <v>6.16</v>
      </c>
      <c r="M25" s="2">
        <v>0</v>
      </c>
      <c r="N25" s="5">
        <v>1440124.37</v>
      </c>
      <c r="O25" s="2" t="s">
        <v>277</v>
      </c>
      <c r="P25" s="1" t="s">
        <v>142</v>
      </c>
      <c r="Q25" s="2">
        <v>5.97</v>
      </c>
      <c r="R25" s="2">
        <v>5.0000000000000001E-3</v>
      </c>
      <c r="S25" s="5">
        <v>3110283.67</v>
      </c>
      <c r="T25" s="2" t="s">
        <v>277</v>
      </c>
      <c r="U25" s="1" t="s">
        <v>163</v>
      </c>
      <c r="V25" s="2">
        <v>5.67</v>
      </c>
      <c r="W25" s="2">
        <v>0.05</v>
      </c>
      <c r="X25" s="5">
        <v>10490592.08</v>
      </c>
      <c r="Y25" s="2" t="s">
        <v>278</v>
      </c>
      <c r="Z25" s="1" t="s">
        <v>184</v>
      </c>
      <c r="AA25" s="2">
        <v>5.42</v>
      </c>
      <c r="AB25" s="2">
        <v>8.6999999999999994E-2</v>
      </c>
      <c r="AC25" s="5">
        <v>28893489.82</v>
      </c>
      <c r="AD25" s="2" t="s">
        <v>278</v>
      </c>
      <c r="AE25" s="1" t="s">
        <v>205</v>
      </c>
      <c r="AF25" s="2">
        <v>5.13</v>
      </c>
      <c r="AG25" s="2">
        <v>0.13100000000000001</v>
      </c>
      <c r="AH25" s="5">
        <v>93583654.359999999</v>
      </c>
      <c r="AI25" s="2" t="s">
        <v>278</v>
      </c>
      <c r="AJ25" s="1" t="s">
        <v>226</v>
      </c>
      <c r="AK25" s="2">
        <v>4.83</v>
      </c>
      <c r="AL25" s="2">
        <v>0.17599999999999999</v>
      </c>
      <c r="AM25" s="2">
        <v>315645789.13</v>
      </c>
      <c r="AN25" s="2" t="s">
        <v>278</v>
      </c>
      <c r="AO25" s="1" t="s">
        <v>247</v>
      </c>
      <c r="AP25" s="2">
        <v>4.5</v>
      </c>
      <c r="AQ25" s="2">
        <v>0.22500000000000001</v>
      </c>
      <c r="AR25" s="2">
        <v>1202264434.6199999</v>
      </c>
      <c r="AS25" s="1" t="s">
        <v>278</v>
      </c>
    </row>
    <row r="26" spans="1:45" ht="26.25" x14ac:dyDescent="0.4">
      <c r="A26" s="1" t="s">
        <v>23</v>
      </c>
      <c r="B26" s="2">
        <v>6.57</v>
      </c>
      <c r="C26" s="2">
        <v>0</v>
      </c>
      <c r="D26" s="5">
        <v>197696.96</v>
      </c>
      <c r="E26" s="2" t="s">
        <v>275</v>
      </c>
      <c r="F26" s="1" t="s">
        <v>51</v>
      </c>
      <c r="G26" s="2">
        <v>6.41</v>
      </c>
      <c r="H26" s="2">
        <v>0</v>
      </c>
      <c r="I26" s="5">
        <v>502877.56</v>
      </c>
      <c r="J26" s="2" t="s">
        <v>276</v>
      </c>
      <c r="K26" s="1" t="s">
        <v>122</v>
      </c>
      <c r="L26" s="2">
        <v>6.16</v>
      </c>
      <c r="M26" s="2">
        <v>0</v>
      </c>
      <c r="N26" s="5">
        <v>1440124.37</v>
      </c>
      <c r="O26" s="2" t="s">
        <v>277</v>
      </c>
      <c r="P26" s="1" t="s">
        <v>143</v>
      </c>
      <c r="Q26" s="2">
        <v>5.97</v>
      </c>
      <c r="R26" s="2">
        <v>5.0000000000000001E-3</v>
      </c>
      <c r="S26" s="5">
        <v>3110283.67</v>
      </c>
      <c r="T26" s="2" t="s">
        <v>277</v>
      </c>
      <c r="U26" s="1" t="s">
        <v>164</v>
      </c>
      <c r="V26" s="2">
        <v>5.67</v>
      </c>
      <c r="W26" s="2">
        <v>0.05</v>
      </c>
      <c r="X26" s="5">
        <v>10490592.08</v>
      </c>
      <c r="Y26" s="2" t="s">
        <v>278</v>
      </c>
      <c r="Z26" s="1" t="s">
        <v>185</v>
      </c>
      <c r="AA26" s="2">
        <v>5.42</v>
      </c>
      <c r="AB26" s="2">
        <v>8.6999999999999994E-2</v>
      </c>
      <c r="AC26" s="5">
        <v>28893489.82</v>
      </c>
      <c r="AD26" s="2" t="s">
        <v>278</v>
      </c>
      <c r="AE26" s="1" t="s">
        <v>206</v>
      </c>
      <c r="AF26" s="2">
        <v>5.13</v>
      </c>
      <c r="AG26" s="2">
        <v>0.13100000000000001</v>
      </c>
      <c r="AH26" s="5">
        <v>93583654.359999999</v>
      </c>
      <c r="AI26" s="2" t="s">
        <v>278</v>
      </c>
      <c r="AJ26" s="1" t="s">
        <v>227</v>
      </c>
      <c r="AK26" s="2">
        <v>4.83</v>
      </c>
      <c r="AL26" s="2">
        <v>0.17599999999999999</v>
      </c>
      <c r="AM26" s="2">
        <v>315645789.13</v>
      </c>
      <c r="AN26" s="2" t="s">
        <v>278</v>
      </c>
      <c r="AO26" s="1" t="s">
        <v>248</v>
      </c>
      <c r="AP26" s="2">
        <v>4.5</v>
      </c>
      <c r="AQ26" s="2">
        <v>0.22500000000000001</v>
      </c>
      <c r="AR26" s="2">
        <v>1202264434.6199999</v>
      </c>
      <c r="AS26" s="1" t="s">
        <v>278</v>
      </c>
    </row>
    <row r="27" spans="1:45" ht="26.25" x14ac:dyDescent="0.4">
      <c r="A27" s="1" t="s">
        <v>24</v>
      </c>
      <c r="B27" s="2">
        <v>6.49</v>
      </c>
      <c r="C27" s="2">
        <v>0</v>
      </c>
      <c r="D27" s="5">
        <v>168112.5</v>
      </c>
      <c r="E27" s="2" t="s">
        <v>275</v>
      </c>
      <c r="F27" s="1" t="s">
        <v>52</v>
      </c>
      <c r="G27" s="2">
        <v>6.35</v>
      </c>
      <c r="H27" s="2">
        <v>0</v>
      </c>
      <c r="I27" s="5">
        <v>666806.77</v>
      </c>
      <c r="J27" s="2" t="s">
        <v>276</v>
      </c>
      <c r="K27" s="1" t="s">
        <v>64</v>
      </c>
      <c r="L27" s="2">
        <v>6.24</v>
      </c>
      <c r="M27" s="2">
        <v>0</v>
      </c>
      <c r="N27" s="5">
        <v>1041357.86</v>
      </c>
      <c r="O27" s="2" t="s">
        <v>277</v>
      </c>
      <c r="P27" s="1" t="s">
        <v>70</v>
      </c>
      <c r="Q27" s="2">
        <v>6.01</v>
      </c>
      <c r="R27" s="2">
        <v>0</v>
      </c>
      <c r="S27" s="5">
        <v>2644843.63</v>
      </c>
      <c r="T27" s="2" t="s">
        <v>277</v>
      </c>
      <c r="U27" s="1" t="s">
        <v>76</v>
      </c>
      <c r="V27" s="2">
        <v>5.72</v>
      </c>
      <c r="W27" s="2">
        <v>4.2000000000000003E-2</v>
      </c>
      <c r="X27" s="5">
        <v>8566432.5600000005</v>
      </c>
      <c r="Y27" s="2" t="s">
        <v>277</v>
      </c>
      <c r="Z27" s="1" t="s">
        <v>83</v>
      </c>
      <c r="AA27" s="2">
        <v>5.4</v>
      </c>
      <c r="AB27" s="2">
        <v>0.09</v>
      </c>
      <c r="AC27" s="5">
        <v>31332857.239999998</v>
      </c>
      <c r="AD27" s="2" t="s">
        <v>278</v>
      </c>
      <c r="AE27" s="1" t="s">
        <v>90</v>
      </c>
      <c r="AF27" s="2">
        <v>5.1100000000000003</v>
      </c>
      <c r="AG27" s="2">
        <v>0.13300000000000001</v>
      </c>
      <c r="AH27" s="5">
        <v>101484566.28</v>
      </c>
      <c r="AI27" s="2" t="s">
        <v>278</v>
      </c>
      <c r="AJ27" s="1" t="s">
        <v>97</v>
      </c>
      <c r="AK27" s="2">
        <v>4.82</v>
      </c>
      <c r="AL27" s="2">
        <v>0.17699999999999999</v>
      </c>
      <c r="AM27" s="2">
        <v>328700223.97000003</v>
      </c>
      <c r="AN27" s="2" t="s">
        <v>278</v>
      </c>
      <c r="AO27" s="1" t="s">
        <v>104</v>
      </c>
      <c r="AP27" s="2">
        <v>4.47</v>
      </c>
      <c r="AQ27" s="2">
        <v>0.23</v>
      </c>
      <c r="AR27" s="2">
        <v>1357688064.1400001</v>
      </c>
      <c r="AS27" s="1" t="s">
        <v>278</v>
      </c>
    </row>
    <row r="28" spans="1:45" ht="26.25" x14ac:dyDescent="0.4">
      <c r="A28" s="1" t="s">
        <v>25</v>
      </c>
      <c r="B28" s="2">
        <v>6.49</v>
      </c>
      <c r="C28" s="2">
        <v>0</v>
      </c>
      <c r="D28" s="5">
        <v>168112.5</v>
      </c>
      <c r="E28" s="2" t="s">
        <v>275</v>
      </c>
      <c r="F28" s="1" t="s">
        <v>53</v>
      </c>
      <c r="G28" s="2">
        <v>6.35</v>
      </c>
      <c r="H28" s="2">
        <v>0</v>
      </c>
      <c r="I28" s="5">
        <v>666806.77</v>
      </c>
      <c r="J28" s="2" t="s">
        <v>276</v>
      </c>
      <c r="K28" s="1" t="s">
        <v>123</v>
      </c>
      <c r="L28" s="2">
        <v>6.24</v>
      </c>
      <c r="M28" s="2">
        <v>0</v>
      </c>
      <c r="N28" s="5">
        <v>1041357.86</v>
      </c>
      <c r="O28" s="2" t="s">
        <v>277</v>
      </c>
      <c r="P28" s="1" t="s">
        <v>144</v>
      </c>
      <c r="Q28" s="2">
        <v>6.01</v>
      </c>
      <c r="R28" s="2">
        <v>0</v>
      </c>
      <c r="S28" s="5">
        <v>2644843.63</v>
      </c>
      <c r="T28" s="2" t="s">
        <v>277</v>
      </c>
      <c r="U28" s="1" t="s">
        <v>165</v>
      </c>
      <c r="V28" s="2">
        <v>5.72</v>
      </c>
      <c r="W28" s="2">
        <v>4.2000000000000003E-2</v>
      </c>
      <c r="X28" s="5">
        <v>8566432.5600000005</v>
      </c>
      <c r="Y28" s="2" t="s">
        <v>277</v>
      </c>
      <c r="Z28" s="1" t="s">
        <v>186</v>
      </c>
      <c r="AA28" s="2">
        <v>5.4</v>
      </c>
      <c r="AB28" s="2">
        <v>0.09</v>
      </c>
      <c r="AC28" s="5">
        <v>31332857.239999998</v>
      </c>
      <c r="AD28" s="2" t="s">
        <v>278</v>
      </c>
      <c r="AE28" s="1" t="s">
        <v>207</v>
      </c>
      <c r="AF28" s="2">
        <v>5.1100000000000003</v>
      </c>
      <c r="AG28" s="2">
        <v>0.13300000000000001</v>
      </c>
      <c r="AH28" s="5">
        <v>101484566.28</v>
      </c>
      <c r="AI28" s="2" t="s">
        <v>278</v>
      </c>
      <c r="AJ28" s="1" t="s">
        <v>228</v>
      </c>
      <c r="AK28" s="2">
        <v>4.82</v>
      </c>
      <c r="AL28" s="2">
        <v>0.17699999999999999</v>
      </c>
      <c r="AM28" s="2">
        <v>328700223.97000003</v>
      </c>
      <c r="AN28" s="2" t="s">
        <v>278</v>
      </c>
      <c r="AO28" s="1" t="s">
        <v>249</v>
      </c>
      <c r="AP28" s="2">
        <v>4.47</v>
      </c>
      <c r="AQ28" s="2">
        <v>0.23</v>
      </c>
      <c r="AR28" s="2">
        <v>1357688064.1400001</v>
      </c>
      <c r="AS28" s="1" t="s">
        <v>278</v>
      </c>
    </row>
    <row r="29" spans="1:45" ht="26.25" x14ac:dyDescent="0.4">
      <c r="A29" s="1" t="s">
        <v>26</v>
      </c>
      <c r="B29" s="2">
        <v>6.49</v>
      </c>
      <c r="C29" s="2">
        <v>0</v>
      </c>
      <c r="D29" s="5">
        <v>168112.5</v>
      </c>
      <c r="E29" s="2" t="s">
        <v>275</v>
      </c>
      <c r="F29" s="1" t="s">
        <v>54</v>
      </c>
      <c r="G29" s="2">
        <v>6.35</v>
      </c>
      <c r="H29" s="2">
        <v>0</v>
      </c>
      <c r="I29" s="5">
        <v>666806.77</v>
      </c>
      <c r="J29" s="2" t="s">
        <v>276</v>
      </c>
      <c r="K29" s="1" t="s">
        <v>124</v>
      </c>
      <c r="L29" s="2">
        <v>6.24</v>
      </c>
      <c r="M29" s="2">
        <v>0</v>
      </c>
      <c r="N29" s="5">
        <v>1041357.86</v>
      </c>
      <c r="O29" s="2" t="s">
        <v>277</v>
      </c>
      <c r="P29" s="1" t="s">
        <v>145</v>
      </c>
      <c r="Q29" s="2">
        <v>6.01</v>
      </c>
      <c r="R29" s="2">
        <v>0</v>
      </c>
      <c r="S29" s="5">
        <v>2644843.63</v>
      </c>
      <c r="T29" s="2" t="s">
        <v>277</v>
      </c>
      <c r="U29" s="1" t="s">
        <v>166</v>
      </c>
      <c r="V29" s="2">
        <v>5.72</v>
      </c>
      <c r="W29" s="2">
        <v>4.2000000000000003E-2</v>
      </c>
      <c r="X29" s="5">
        <v>8566432.5600000005</v>
      </c>
      <c r="Y29" s="2" t="s">
        <v>277</v>
      </c>
      <c r="Z29" s="1" t="s">
        <v>187</v>
      </c>
      <c r="AA29" s="2">
        <v>5.4</v>
      </c>
      <c r="AB29" s="2">
        <v>0.09</v>
      </c>
      <c r="AC29" s="5">
        <v>31332857.239999998</v>
      </c>
      <c r="AD29" s="2" t="s">
        <v>278</v>
      </c>
      <c r="AE29" s="1" t="s">
        <v>208</v>
      </c>
      <c r="AF29" s="2">
        <v>5.1100000000000003</v>
      </c>
      <c r="AG29" s="2">
        <v>0.13300000000000001</v>
      </c>
      <c r="AH29" s="5">
        <v>101484566.28</v>
      </c>
      <c r="AI29" s="2" t="s">
        <v>278</v>
      </c>
      <c r="AJ29" s="1" t="s">
        <v>229</v>
      </c>
      <c r="AK29" s="2">
        <v>4.82</v>
      </c>
      <c r="AL29" s="2">
        <v>0.17699999999999999</v>
      </c>
      <c r="AM29" s="2">
        <v>328700223.97000003</v>
      </c>
      <c r="AN29" s="2" t="s">
        <v>278</v>
      </c>
      <c r="AO29" s="1" t="s">
        <v>250</v>
      </c>
      <c r="AP29" s="2">
        <v>4.47</v>
      </c>
      <c r="AQ29" s="2">
        <v>0.23</v>
      </c>
      <c r="AR29" s="2">
        <v>1357688064.1400001</v>
      </c>
      <c r="AS29" s="1" t="s">
        <v>278</v>
      </c>
    </row>
    <row r="30" spans="1:45" ht="26.25" x14ac:dyDescent="0.4">
      <c r="A30" s="1" t="s">
        <v>27</v>
      </c>
      <c r="B30" s="2">
        <v>6.49</v>
      </c>
      <c r="C30" s="2">
        <v>0</v>
      </c>
      <c r="D30" s="5">
        <v>168112.5</v>
      </c>
      <c r="E30" s="2" t="s">
        <v>275</v>
      </c>
      <c r="F30" s="1" t="s">
        <v>55</v>
      </c>
      <c r="G30" s="2">
        <v>6.35</v>
      </c>
      <c r="H30" s="2">
        <v>0</v>
      </c>
      <c r="I30" s="5">
        <v>666806.77</v>
      </c>
      <c r="J30" s="2" t="s">
        <v>276</v>
      </c>
      <c r="K30" s="1" t="s">
        <v>125</v>
      </c>
      <c r="L30" s="2">
        <v>6.24</v>
      </c>
      <c r="M30" s="2">
        <v>0</v>
      </c>
      <c r="N30" s="5">
        <v>1041357.86</v>
      </c>
      <c r="O30" s="2" t="s">
        <v>277</v>
      </c>
      <c r="P30" s="1" t="s">
        <v>146</v>
      </c>
      <c r="Q30" s="2">
        <v>6.01</v>
      </c>
      <c r="R30" s="2">
        <v>0</v>
      </c>
      <c r="S30" s="5">
        <v>2644843.63</v>
      </c>
      <c r="T30" s="2" t="s">
        <v>277</v>
      </c>
      <c r="U30" s="1" t="s">
        <v>167</v>
      </c>
      <c r="V30" s="2">
        <v>5.72</v>
      </c>
      <c r="W30" s="2">
        <v>4.2000000000000003E-2</v>
      </c>
      <c r="X30" s="5">
        <v>8566432.5600000005</v>
      </c>
      <c r="Y30" s="2" t="s">
        <v>277</v>
      </c>
      <c r="Z30" s="1" t="s">
        <v>188</v>
      </c>
      <c r="AA30" s="2">
        <v>5.4</v>
      </c>
      <c r="AB30" s="2">
        <v>0.09</v>
      </c>
      <c r="AC30" s="5">
        <v>31332857.239999998</v>
      </c>
      <c r="AD30" s="2" t="s">
        <v>278</v>
      </c>
      <c r="AE30" s="1" t="s">
        <v>209</v>
      </c>
      <c r="AF30" s="2">
        <v>5.1100000000000003</v>
      </c>
      <c r="AG30" s="2">
        <v>0.13300000000000001</v>
      </c>
      <c r="AH30" s="5">
        <v>101484566.28</v>
      </c>
      <c r="AI30" s="2" t="s">
        <v>278</v>
      </c>
      <c r="AJ30" s="1" t="s">
        <v>230</v>
      </c>
      <c r="AK30" s="2">
        <v>4.82</v>
      </c>
      <c r="AL30" s="2">
        <v>0.17699999999999999</v>
      </c>
      <c r="AM30" s="2">
        <v>328700223.97000003</v>
      </c>
      <c r="AN30" s="2" t="s">
        <v>278</v>
      </c>
      <c r="AO30" s="1" t="s">
        <v>251</v>
      </c>
      <c r="AP30" s="2">
        <v>4.47</v>
      </c>
      <c r="AQ30" s="2">
        <v>0.23</v>
      </c>
      <c r="AR30" s="2">
        <v>1357688064.1400001</v>
      </c>
      <c r="AS30" s="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</vt:lpstr>
      <vt:lpstr>Ori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Bryan Nicholas</cp:lastModifiedBy>
  <dcterms:created xsi:type="dcterms:W3CDTF">2025-05-15T15:17:21Z</dcterms:created>
  <dcterms:modified xsi:type="dcterms:W3CDTF">2025-07-16T13:25:04Z</dcterms:modified>
</cp:coreProperties>
</file>